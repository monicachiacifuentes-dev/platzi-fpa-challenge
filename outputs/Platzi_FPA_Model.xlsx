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Data_MRR" sheetId="3" state="visible" r:id="rId3"/>
    <sheet name="Data_Costs" sheetId="4" state="visible" r:id="rId4"/>
    <sheet name="Data_Survival" sheetId="5" state="visible" r:id="rId5"/>
    <sheet name="Answers_Q1_Q4" sheetId="6" state="visible" r:id="rId6"/>
    <sheet name="UnitEconomics" sheetId="7" state="visible" r:id="rId7"/>
    <sheet name="Scenarios" sheetId="8" state="visible" r:id="rId8"/>
    <sheet name="Strategies" sheetId="9" state="visible" r:id="rId9"/>
    <sheet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0.00&quot;x&quot;"/>
    <numFmt numFmtId="166" formatCode="0.0%"/>
    <numFmt numFmtId="167" formatCode="$#,##0.00"/>
    <numFmt numFmtId="168" formatCode="0.0000"/>
    <numFmt numFmtId="169" formatCode="yyyy-mm-dd h:mm:ss"/>
    <numFmt numFmtId="170" formatCode="#,##0.0"/>
    <numFmt numFmtId="171" formatCode="0.000%"/>
    <numFmt numFmtId="172" formatCode="$#,##0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9"/>
    </font>
    <font>
      <b val="1"/>
      <color rgb="001F4E78"/>
      <sz val="11"/>
    </font>
    <font>
      <color rgb="00000000"/>
    </font>
    <font>
      <b val="1"/>
      <color rgb="00FFFFFF"/>
    </font>
    <font>
      <b val="1"/>
    </font>
    <font>
      <color rgb="000000FF"/>
    </font>
    <font>
      <color rgb="00008000"/>
    </font>
    <font>
      <b val="1"/>
      <color rgb="0000800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7" fontId="8" fillId="0" borderId="0" pivotButton="0" quotePrefix="0" xfId="0"/>
    <xf numFmtId="3" fontId="8" fillId="0" borderId="0" pivotButton="0" quotePrefix="0" xfId="0"/>
    <xf numFmtId="168" fontId="7" fillId="0" borderId="0" pivotButton="0" quotePrefix="0" xfId="0"/>
    <xf numFmtId="4" fontId="8" fillId="0" borderId="0" pivotButton="0" quotePrefix="0" xfId="0"/>
    <xf numFmtId="0" fontId="8" fillId="0" borderId="0" pivotButton="0" quotePrefix="0" xfId="0"/>
    <xf numFmtId="4" fontId="7" fillId="0" borderId="0" pivotButton="0" quotePrefix="0" xfId="0"/>
    <xf numFmtId="10" fontId="7" fillId="0" borderId="0" pivotButton="0" quotePrefix="0" xfId="0"/>
    <xf numFmtId="166" fontId="0" fillId="0" borderId="0" pivotButton="0" quotePrefix="0" xfId="0"/>
    <xf numFmtId="167" fontId="9" fillId="0" borderId="0" pivotButton="0" quotePrefix="0" xfId="0"/>
    <xf numFmtId="10" fontId="8" fillId="0" borderId="0" pivotButton="0" quotePrefix="0" xfId="0"/>
    <xf numFmtId="3" fontId="4" fillId="0" borderId="0" pivotButton="0" quotePrefix="0" xfId="0"/>
    <xf numFmtId="3" fontId="6" fillId="0" borderId="0" pivotButton="0" quotePrefix="0" xfId="0"/>
    <xf numFmtId="166" fontId="8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0" fontId="4" fillId="0" borderId="0" pivotButton="0" quotePrefix="0" xfId="0"/>
    <xf numFmtId="10" fontId="6" fillId="0" borderId="0" pivotButton="0" quotePrefix="0" xfId="0"/>
    <xf numFmtId="167" fontId="6" fillId="0" borderId="0" pivotButton="0" quotePrefix="0" xfId="0"/>
    <xf numFmtId="170" fontId="4" fillId="0" borderId="0" pivotButton="0" quotePrefix="0" xfId="0"/>
    <xf numFmtId="165" fontId="4" fillId="0" borderId="0" pivotButton="0" quotePrefix="0" xfId="0"/>
    <xf numFmtId="4" fontId="4" fillId="0" borderId="0" pivotButton="0" quotePrefix="0" xfId="0"/>
    <xf numFmtId="171" fontId="4" fillId="0" borderId="0" pivotButton="0" quotePrefix="0" xfId="0"/>
    <xf numFmtId="170" fontId="8" fillId="0" borderId="0" pivotButton="0" quotePrefix="0" xfId="0"/>
    <xf numFmtId="172" fontId="7" fillId="0" borderId="0" pivotButton="0" quotePrefix="0" xfId="0"/>
    <xf numFmtId="0" fontId="4" fillId="0" borderId="0" applyAlignment="1" pivotButton="0" quotePrefix="0" xfId="0">
      <alignment wrapText="1"/>
    </xf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A1" s="1" t="inlineStr">
        <is>
          <t>Platzi FP&amp;A Financial Model</t>
        </is>
      </c>
    </row>
    <row r="2">
      <c r="A2" s="2" t="inlineStr">
        <is>
          <t>WP40 deliverable D1. Built by work/WP40_model/build_model.py -- rerun that script to regenerate this file from db/platzi.duckdb + the WP21/WP31 sheet_inputs.csv exports.</t>
        </is>
      </c>
    </row>
    <row r="4">
      <c r="A4" s="3" t="inlineStr">
        <is>
          <t>Purpose</t>
        </is>
      </c>
      <c r="B4" s="4" t="n"/>
    </row>
    <row r="5">
      <c r="B5" s="5" t="inlineStr">
        <is>
          <t>This workbook holds the assumptions, unit economics and scenario model for Platzi's FP&amp;A take-home</t>
        </is>
      </c>
    </row>
    <row r="6">
      <c r="B6" s="5" t="inlineStr">
        <is>
          <t>challenge, with every number traceable to a formula, an assumption ID, or a named SQL mart export.</t>
        </is>
      </c>
    </row>
    <row r="7">
      <c r="B7" s="5" t="inlineStr">
        <is>
          <t>The heavy data work (fact tables, MRR bridge, retention, NDR decomposition, CAC/LTV synthesis, the</t>
        </is>
      </c>
    </row>
    <row r="8">
      <c r="B8" s="5" t="inlineStr">
        <is>
          <t>scenario simulation engine) lives in the SQL/DuckDB pipeline (sql/staging -&gt; sql/intermediate -&gt;</t>
        </is>
      </c>
    </row>
    <row r="9">
      <c r="B9" s="5" t="inlineStr">
        <is>
          <t>sql/marts, plus sql/python_models/scenarios.py). This Sheet consumes that pipeline's outputs as</t>
        </is>
      </c>
    </row>
    <row r="10">
      <c r="B10" s="5" t="inlineStr">
        <is>
          <t>'Data_*' tabs (verbatim exports of named marts) and rebuilds the assumptions, unit-economics and</t>
        </is>
      </c>
    </row>
    <row r="11">
      <c r="B11" s="5" t="inlineStr">
        <is>
          <t>scenario CALCULATIONS on top of them with visible spreadsheet formulas, per the 2026-09-26 update</t>
        </is>
      </c>
    </row>
    <row r="12">
      <c r="B12" s="5" t="inlineStr">
        <is>
          <t>to Docs/Deliverables_Framework.md (D1): 'the data and calculation layer is SQL ... a small Google</t>
        </is>
      </c>
    </row>
    <row r="13">
      <c r="B13" s="5" t="inlineStr">
        <is>
          <t>Sheet holds Assumptions, Unit Economics and Scenarios with visible formulas, fed by mart exports.'</t>
        </is>
      </c>
    </row>
    <row r="15">
      <c r="A15" s="3" t="inlineStr">
        <is>
          <t>Tab map</t>
        </is>
      </c>
      <c r="B15" s="4" t="n"/>
    </row>
    <row r="16">
      <c r="A16" s="6" t="inlineStr">
        <is>
          <t>Tab</t>
        </is>
      </c>
      <c r="B16" s="6" t="inlineStr">
        <is>
          <t>Contents</t>
        </is>
      </c>
    </row>
    <row r="17" ht="30" customHeight="1">
      <c r="A17" s="7" t="inlineStr">
        <is>
          <t>README</t>
        </is>
      </c>
      <c r="B17" s="8" t="inlineStr">
        <is>
          <t>This tab.</t>
        </is>
      </c>
    </row>
    <row r="18" ht="30" customHeight="1">
      <c r="A18" s="7" t="inlineStr">
        <is>
          <t>Assumptions</t>
        </is>
      </c>
      <c r="B18" s="8" t="inlineStr">
        <is>
          <t>Every driver with an ID (A-xx/D-xx/A2-xx/S-xx), value, unit, source, note. Scenario selector, GM-basis selector, lifetime-cap, benchmarks, starting stock, scenario engine drivers, and the full WP21/WP31 assumption registers.</t>
        </is>
      </c>
    </row>
    <row r="19" ht="30" customHeight="1">
      <c r="A19" s="7" t="inlineStr">
        <is>
          <t>Data_MRR</t>
        </is>
      </c>
      <c r="B19" s="8" t="inlineStr">
        <is>
          <t>Monthly MRR bridge by segment (mart_mrr_bridge): opening/new/expansion/contraction/churn/closing MRR + active customers, Jan-23..Apr-24.</t>
        </is>
      </c>
    </row>
    <row r="20" ht="30" customHeight="1">
      <c r="A20" s="7" t="inlineStr">
        <is>
          <t>Data_Costs</t>
        </is>
      </c>
      <c r="B20" s="8" t="inlineStr">
        <is>
          <t>Monthly marketing spend by segment x channel (stg_marketing_spend), support costs by category (stg_support_costs), and new paying customers by month x segment (mart_a2_01_new_paying_customers).</t>
        </is>
      </c>
    </row>
    <row r="21" ht="30" customHeight="1">
      <c r="A21" s="7" t="inlineStr">
        <is>
          <t>Data_Survival</t>
        </is>
      </c>
      <c r="B21" s="8" t="inlineStr">
        <is>
          <t>Logo and $ survival curves by segment, k=0..15 months (mart_a2_10_survival_curve).</t>
        </is>
      </c>
    </row>
    <row r="22" ht="30" customHeight="1">
      <c r="A22" s="7" t="inlineStr">
        <is>
          <t>Answers_Q1_Q4</t>
        </is>
      </c>
      <c r="B22" s="8" t="inlineStr">
        <is>
          <t>The 4 ad-hoc answers. Q1 (MRR) and Q3 (active subs) are rebuilt with formulas from Data_MRR / a small Q3 data block. Q2 (Q1-24 retention) and Q4 (NDR T12M) link to small data blocks exported from mart_q2_retention_q1_24 / mart_q4_ndr_t12m -- a full formula rebuild would require the row-level subscription table, which is out of this workbook's scope (that computation lives in SQL); this is stated on the tab.</t>
        </is>
      </c>
    </row>
    <row r="23" ht="30" customHeight="1">
      <c r="A23" s="7" t="inlineStr">
        <is>
          <t>UnitEconomics</t>
        </is>
      </c>
      <c r="B23" s="8" t="inlineStr">
        <is>
          <t>Fully loaded CAC, revenue, COGS, GM% (driven by the GM-basis selector), ARPA, the 60-month survival-curve build, LTV, LTV:CAC, CAC payback, and the retention-adjusted payback on the full 60-month curve, by segment. Includes a GM-basis x lifetime-cap sensitivity grid.</t>
        </is>
      </c>
    </row>
    <row r="24" ht="30" customHeight="1">
      <c r="A24" s="7" t="inlineStr">
        <is>
          <t>Scenarios</t>
        </is>
      </c>
      <c r="B24" s="8" t="inlineStr">
        <is>
          <t>A 12-month (May-24..Apr-25) formula-driven projection by segment, in three parallel Base/Bull/Bear blocks (no selector needed), plus a summary and a reconciliation block against the Python scenario engine (mart_s_03_scenario_summary).</t>
        </is>
      </c>
    </row>
    <row r="25" ht="30" customHeight="1">
      <c r="A25" s="7" t="inlineStr">
        <is>
          <t>Strategies</t>
        </is>
      </c>
      <c r="B25" s="8" t="inlineStr">
        <is>
          <t>The WP23 retention-strategy table (6mo/12mo MRR delta, NDR delta, effort), linked to Assumptions where the impact is a simple formula, labelled 'from engine' where it comes from the Python simulation.</t>
        </is>
      </c>
    </row>
    <row r="26" ht="30" customHeight="1">
      <c r="A26" s="7" t="inlineStr">
        <is>
          <t>Checks</t>
        </is>
      </c>
      <c r="B26" s="8" t="inlineStr">
        <is>
          <t>TRUE/FALSE reconciliation checks with a master ALL CHECKS PASS cell.</t>
        </is>
      </c>
    </row>
    <row r="28">
      <c r="A28" s="3" t="inlineStr">
        <is>
          <t>Conventions</t>
        </is>
      </c>
      <c r="B28" s="4" t="n"/>
    </row>
    <row r="29">
      <c r="A29" s="6" t="inlineStr">
        <is>
          <t>Convention</t>
        </is>
      </c>
      <c r="B29" s="6" t="inlineStr">
        <is>
          <t>Meaning</t>
        </is>
      </c>
    </row>
    <row r="30" ht="28" customHeight="1">
      <c r="A30" s="7" t="inlineStr">
        <is>
          <t>Blue font</t>
        </is>
      </c>
      <c r="B30" s="8" t="inlineStr">
        <is>
          <t>Hard-coded input (an assumption, or a value pasted from a SQL mart export on a Data_* tab).</t>
        </is>
      </c>
    </row>
    <row r="31" ht="28" customHeight="1">
      <c r="A31" s="7" t="inlineStr">
        <is>
          <t>Black font</t>
        </is>
      </c>
      <c r="B31" s="8" t="inlineStr">
        <is>
          <t>A formula computed from other cells in this workbook.</t>
        </is>
      </c>
    </row>
    <row r="32" ht="28" customHeight="1">
      <c r="A32" s="7" t="inlineStr">
        <is>
          <t>Green font</t>
        </is>
      </c>
      <c r="B32" s="8" t="inlineStr">
        <is>
          <t>A formula that links to a value on another tab (a cross-sheet reference / lookup).</t>
        </is>
      </c>
    </row>
    <row r="33" ht="28" customHeight="1">
      <c r="A33" s="7" t="inlineStr">
        <is>
          <t>No hard-coded numbers in formulas</t>
        </is>
      </c>
      <c r="B33" s="8" t="inlineStr">
        <is>
          <t>Every formula points at an Assumptions/Data_* cell instead of embedding a number, except structural constants (12 months/year, 1).</t>
        </is>
      </c>
    </row>
    <row r="34" ht="28" customHeight="1">
      <c r="A34" s="7" t="inlineStr">
        <is>
          <t>No macros / data tables / structured refs / dynamic-array-only functions / external links</t>
        </is>
      </c>
      <c r="B34" s="8" t="inlineStr">
        <is>
          <t>Only SUM, SUMIFS, SUMPRODUCT, INDEX/MATCH, IF, MIN/MAX, ROUND, AVERAGE, COUNTIFS, IFERROR, AND/OR and basic arithmetic are used, so the workbook opens and recalculates identically in Excel and Google Sheets.</t>
        </is>
      </c>
    </row>
    <row r="36">
      <c r="A36" s="3" t="inlineStr">
        <is>
          <t>Data window</t>
        </is>
      </c>
      <c r="B36" s="4" t="n"/>
    </row>
    <row r="37">
      <c r="B37" s="5" t="inlineStr">
        <is>
          <t>Historical data: Jan-2023 .. Apr-2024 (16 months). As-of / snapshot date (M-01): 2024-04-30.</t>
        </is>
      </c>
    </row>
    <row r="38">
      <c r="B38" s="5" t="inlineStr">
        <is>
          <t>Scenario projection: May-2024 .. Apr-2025 (12 months), seeded from the Apr-24 actuals.</t>
        </is>
      </c>
    </row>
    <row r="39">
      <c r="B39" s="5" t="inlineStr">
        <is>
          <t>CAC / GM / ARPA windows: T6M = Nov-2023..Apr-2024 (base); T16M = Jan-2023..Apr-2024 (reference).</t>
        </is>
      </c>
    </row>
    <row r="41">
      <c r="A41" s="3" t="inlineStr">
        <is>
          <t>How this links to the SQL pipeline</t>
        </is>
      </c>
      <c r="B41" s="4" t="n"/>
    </row>
    <row r="42">
      <c r="B42" s="5" t="inlineStr">
        <is>
          <t>Every Data_* tab is a verbatim export of one or more named marts/staging tables from db/platzi.duckdb</t>
        </is>
      </c>
    </row>
    <row r="43">
      <c r="B43" s="5" t="inlineStr">
        <is>
          <t>(built by sql/run_pipeline.py from sql/staging -&gt; sql/intermediate -&gt; sql/marts, plus the Python</t>
        </is>
      </c>
    </row>
    <row r="44">
      <c r="B44" s="5" t="inlineStr">
        <is>
          <t>scenario engine in sql/python_models/scenarios.py). This workbook does NOT recompute the SQL layer's</t>
        </is>
      </c>
    </row>
    <row r="45">
      <c r="B45" s="5" t="inlineStr">
        <is>
          <t>own logic (retention definitions, the survival-curve tail-rate cascade, the monthly compartment</t>
        </is>
      </c>
    </row>
    <row r="46">
      <c r="B46" s="5" t="inlineStr">
        <is>
          <t>simulation) -- it re-derives the assumptions/unit-economics/scenario CALCULATIONS from those exports</t>
        </is>
      </c>
    </row>
    <row r="47">
      <c r="B47" s="5" t="inlineStr">
        <is>
          <t>using its own visible formulas, and cross-checks the results against the SQL/Python outputs on the</t>
        </is>
      </c>
    </row>
    <row r="48">
      <c r="B48" s="5" t="inlineStr">
        <is>
          <t>Checks tab. Rerun sql/run_pipeline.py, then work/WP40_model/build_model.py, to refresh this file.</t>
        </is>
      </c>
    </row>
    <row r="50">
      <c r="A50" s="3" t="inlineStr">
        <is>
          <t>Key caveats</t>
        </is>
      </c>
      <c r="B50" s="4" t="n"/>
    </row>
    <row r="51" ht="28" customHeight="1">
      <c r="B51" s="8" t="inlineStr">
        <is>
          <t>- GM% base case (all COGS allocated by MRR share) is uniform across segments BY CONSTRUCTION -- it cannot itself show any segment as more/less profitable than the company average (see UnitEconomics).</t>
        </is>
      </c>
    </row>
    <row r="52" ht="28" customHeight="1">
      <c r="B52" s="8" t="inlineStr">
        <is>
          <t>- Retention-adjusted payback is now computed on the full extrapolated 60-month curve (this resolves the open issue in Docs/Plan_and_Index.md -- WP21's version only checked the observed 11-15 month horizon and always said 'never').</t>
        </is>
      </c>
    </row>
    <row r="53" ht="28" customHeight="1">
      <c r="B53" s="8" t="inlineStr">
        <is>
          <t>- The Scenarios tab is a deliberately simplified single-bucket-per-segment model (it blends monthly/annual plan rates using the Apr-24 stock mix and ignores the B2C monthly-&gt;annual migration lever); it is reconciled against the full monthly-compartment Python engine within 3% on Apr-25 total MRR per scenario -- see the reconciliation block on the Scenarios tab for the exact gaps and why.</t>
        </is>
      </c>
    </row>
    <row r="54" ht="28" customHeight="1">
      <c r="B54" s="8" t="inlineStr">
        <is>
          <t>- Q2 and Q4 are small linked data blocks from the SQL marts, not formula rebuilds (see Answers_Q1_Q4).</t>
        </is>
      </c>
    </row>
    <row r="55" ht="28" customHeight="1">
      <c r="B55" s="8" t="inlineStr">
        <is>
          <t>- Enterprise and SMB unit-economics/survival figures rest on small samples (as few as ~58 new customers/6mo for Enterprise) -- treat them as directional, per WP20/21/22/31's repeated caveat.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2" customWidth="1" min="5" max="5"/>
    <col width="22" customWidth="1" min="6" max="6"/>
    <col width="46" customWidth="1" min="7" max="7"/>
  </cols>
  <sheetData>
    <row r="1">
      <c r="A1" s="1" t="inlineStr">
        <is>
          <t>Assumptions</t>
        </is>
      </c>
    </row>
    <row r="2">
      <c r="A2" s="2" t="inlineStr">
        <is>
          <t>Purpose: every input driver used anywhere in this workbook, with its ID, value, unit, source and note. Source = sql/marts/*.sql, sql/python_models/scenarios.py, or a WP results.md. Blue = hard-coded input pasted from the SQL layer or the brief; nothing on this tab is a formula.</t>
        </is>
      </c>
    </row>
    <row r="4">
      <c r="A4" s="3" t="inlineStr">
        <is>
          <t>Key selectors &amp; horizon dates</t>
        </is>
      </c>
      <c r="B4" s="4" t="n"/>
      <c r="C4" s="4" t="n"/>
      <c r="D4" s="4" t="n"/>
      <c r="E4" s="4" t="n"/>
      <c r="F4" s="4" t="n"/>
      <c r="G4" s="4" t="n"/>
    </row>
    <row r="5">
      <c r="A5" s="6" t="inlineStr">
        <is>
          <t>Label</t>
        </is>
      </c>
      <c r="B5" s="6" t="inlineStr">
        <is>
          <t>Value</t>
        </is>
      </c>
      <c r="C5" s="6" t="inlineStr">
        <is>
          <t>Unit</t>
        </is>
      </c>
      <c r="D5" s="6" t="inlineStr">
        <is>
          <t>Source</t>
        </is>
      </c>
      <c r="E5" s="6" t="inlineStr">
        <is>
          <t>Note</t>
        </is>
      </c>
      <c r="F5" s="6" t="inlineStr"/>
      <c r="G5" s="6" t="inlineStr"/>
    </row>
    <row r="6">
      <c r="A6" s="5" t="inlineStr">
        <is>
          <t>Scenario selector (informational -- Scenarios tab computes Base/Bull/Bear in parallel blocks, so no tab actually reads this cell)</t>
        </is>
      </c>
      <c r="B6" s="9" t="inlineStr">
        <is>
          <t>Base</t>
        </is>
      </c>
      <c r="C6" s="5" t="inlineStr">
        <is>
          <t>Base/Bull/Bear</t>
        </is>
      </c>
      <c r="D6" s="5" t="inlineStr">
        <is>
          <t>brief</t>
        </is>
      </c>
      <c r="E6" s="2" t="inlineStr">
        <is>
          <t>dropdown; kept for spec compliance / manual what-if reading</t>
        </is>
      </c>
    </row>
    <row r="7">
      <c r="A7" s="5" t="inlineStr">
        <is>
          <t>GM basis selector</t>
        </is>
      </c>
      <c r="B7" s="9" t="inlineStr">
        <is>
          <t>T6M avg</t>
        </is>
      </c>
      <c r="C7" s="5" t="inlineStr">
        <is>
          <t>T6M avg/Apr-24 run-rate</t>
        </is>
      </c>
      <c r="D7" s="5" t="inlineStr">
        <is>
          <t>D-17</t>
        </is>
      </c>
      <c r="E7" s="2" t="inlineStr">
        <is>
          <t>T6M avg 29.3%% (conservative, base) vs Apr-24 run-rate 40.9%% (upside sensitivity); drives GM% and LTV on UnitEconomics</t>
        </is>
      </c>
    </row>
    <row r="8">
      <c r="A8" s="5" t="inlineStr">
        <is>
          <t>LTV horizon cap -- base</t>
        </is>
      </c>
      <c r="B8" s="9" t="n">
        <v>60</v>
      </c>
      <c r="C8" s="5" t="inlineStr">
        <is>
          <t>months</t>
        </is>
      </c>
      <c r="D8" s="5" t="inlineStr">
        <is>
          <t>A-18</t>
        </is>
      </c>
      <c r="E8" s="2" t="inlineStr">
        <is>
          <t>proposed WP21; standard 5-yr SaaS planning horizon</t>
        </is>
      </c>
    </row>
    <row r="9">
      <c r="A9" s="5" t="inlineStr">
        <is>
          <t>LTV horizon cap -- sensitivity</t>
        </is>
      </c>
      <c r="B9" s="9" t="n">
        <v>36</v>
      </c>
      <c r="C9" s="5" t="inlineStr">
        <is>
          <t>months</t>
        </is>
      </c>
      <c r="D9" s="5" t="inlineStr">
        <is>
          <t>A-18</t>
        </is>
      </c>
      <c r="E9" s="2" t="inlineStr">
        <is>
          <t>conservative alternative reported alongside the 60mo base</t>
        </is>
      </c>
    </row>
    <row r="10">
      <c r="A10" s="5" t="inlineStr">
        <is>
          <t>As-of / snapshot date (M-01)</t>
        </is>
      </c>
      <c r="B10" s="10" t="n">
        <v>45412</v>
      </c>
      <c r="C10" s="5" t="inlineStr">
        <is>
          <t>date</t>
        </is>
      </c>
      <c r="D10" s="5" t="inlineStr">
        <is>
          <t>M-01</t>
        </is>
      </c>
      <c r="E10" s="2" t="inlineStr">
        <is>
          <t>April 2024 = snapshot at 2024-04-30</t>
        </is>
      </c>
    </row>
    <row r="11">
      <c r="A11" s="5" t="inlineStr">
        <is>
          <t>T6M window start (month-end basis, for Data_MRR)</t>
        </is>
      </c>
      <c r="B11" s="10" t="n">
        <v>45260</v>
      </c>
      <c r="C11" s="5" t="inlineStr">
        <is>
          <t>date</t>
        </is>
      </c>
      <c r="D11" s="5" t="inlineStr">
        <is>
          <t>D-19/WP21</t>
        </is>
      </c>
      <c r="E11" s="2" t="inlineStr">
        <is>
          <t>Nov-23..Apr-24</t>
        </is>
      </c>
    </row>
    <row r="12">
      <c r="A12" s="5" t="inlineStr">
        <is>
          <t>T6M window start (month-start basis, for Data_Costs)</t>
        </is>
      </c>
      <c r="B12" s="10" t="n">
        <v>45231</v>
      </c>
      <c r="C12" s="5" t="inlineStr">
        <is>
          <t>date</t>
        </is>
      </c>
      <c r="D12" s="5" t="inlineStr">
        <is>
          <t>D-19/WP21</t>
        </is>
      </c>
      <c r="E12" s="2" t="inlineStr">
        <is>
          <t>stg_marketing_spend/stg_support_costs use month-start dates</t>
        </is>
      </c>
    </row>
    <row r="13">
      <c r="A13" s="5" t="inlineStr">
        <is>
          <t>T6M window end (month-start basis, for Data_Costs)</t>
        </is>
      </c>
      <c r="B13" s="10" t="n">
        <v>45383</v>
      </c>
      <c r="C13" s="5" t="inlineStr">
        <is>
          <t>date</t>
        </is>
      </c>
      <c r="D13" s="5" t="inlineStr">
        <is>
          <t>D-19/WP21</t>
        </is>
      </c>
      <c r="E13" s="2" t="inlineStr"/>
    </row>
    <row r="14">
      <c r="A14" s="5" t="inlineStr">
        <is>
          <t>T16M window start (month-end basis, for Data_MRR)</t>
        </is>
      </c>
      <c r="B14" s="10" t="n">
        <v>44957</v>
      </c>
      <c r="C14" s="5" t="inlineStr">
        <is>
          <t>date</t>
        </is>
      </c>
      <c r="D14" s="5" t="inlineStr">
        <is>
          <t>WP21</t>
        </is>
      </c>
      <c r="E14" s="2" t="inlineStr">
        <is>
          <t>Jan-23..Apr-24</t>
        </is>
      </c>
    </row>
    <row r="15">
      <c r="A15" s="5" t="inlineStr">
        <is>
          <t>T16M window start (month-start basis, for Data_Costs)</t>
        </is>
      </c>
      <c r="B15" s="10" t="n">
        <v>44927</v>
      </c>
      <c r="C15" s="5" t="inlineStr">
        <is>
          <t>date</t>
        </is>
      </c>
      <c r="D15" s="5" t="inlineStr">
        <is>
          <t>WP21</t>
        </is>
      </c>
      <c r="E15" s="2" t="inlineStr"/>
    </row>
    <row r="16">
      <c r="A16" s="5" t="inlineStr">
        <is>
          <t>Scenario horizon start (month 1 = May-24)</t>
        </is>
      </c>
      <c r="B16" s="10" t="n">
        <v>45443</v>
      </c>
      <c r="C16" s="5" t="inlineStr">
        <is>
          <t>date</t>
        </is>
      </c>
      <c r="D16" s="5" t="inlineStr">
        <is>
          <t>brief/WP31</t>
        </is>
      </c>
      <c r="E16" s="2" t="inlineStr">
        <is>
          <t>12-month projection starts the month after the as-of date</t>
        </is>
      </c>
    </row>
    <row r="17">
      <c r="A17" s="5" t="inlineStr">
        <is>
          <t>Scenario horizon end (month 12 = Apr-25)</t>
        </is>
      </c>
      <c r="B17" s="10" t="n">
        <v>45777</v>
      </c>
      <c r="C17" s="5" t="inlineStr">
        <is>
          <t>date</t>
        </is>
      </c>
      <c r="D17" s="5" t="inlineStr">
        <is>
          <t>brief/WP31</t>
        </is>
      </c>
      <c r="E17" s="2" t="inlineStr"/>
    </row>
    <row r="18">
      <c r="A18" s="5" t="inlineStr">
        <is>
          <t>Benchmark: LTV:CAC</t>
        </is>
      </c>
      <c r="B18" s="11" t="n">
        <v>3</v>
      </c>
      <c r="C18" s="5" t="inlineStr">
        <is>
          <t>x</t>
        </is>
      </c>
      <c r="D18" s="5" t="inlineStr">
        <is>
          <t>brief/A2-012</t>
        </is>
      </c>
      <c r="E18" s="2" t="inlineStr">
        <is>
          <t>SaaS rule of thumb, all segments</t>
        </is>
      </c>
    </row>
    <row r="19">
      <c r="A19" s="5" t="inlineStr">
        <is>
          <t>Benchmark: CAC payback, B2C/SMB</t>
        </is>
      </c>
      <c r="B19" s="12" t="n">
        <v>12</v>
      </c>
      <c r="C19" s="5" t="inlineStr">
        <is>
          <t>months</t>
        </is>
      </c>
      <c r="D19" s="5" t="inlineStr">
        <is>
          <t>brief/A2-012</t>
        </is>
      </c>
      <c r="E19" s="2" t="inlineStr"/>
    </row>
    <row r="20">
      <c r="A20" s="5" t="inlineStr">
        <is>
          <t>Benchmark: CAC payback, Enterprise</t>
        </is>
      </c>
      <c r="B20" s="12" t="n">
        <v>18</v>
      </c>
      <c r="C20" s="5" t="inlineStr">
        <is>
          <t>months</t>
        </is>
      </c>
      <c r="D20" s="5" t="inlineStr">
        <is>
          <t>brief/A2-012</t>
        </is>
      </c>
      <c r="E20" s="2" t="inlineStr">
        <is>
          <t>longer sales cycle allowance</t>
        </is>
      </c>
    </row>
    <row r="21">
      <c r="A21" s="5" t="inlineStr">
        <is>
          <t>Tolerance: scenario reconciliation vs engine</t>
        </is>
      </c>
      <c r="B21" s="13" t="n">
        <v>0.03</v>
      </c>
      <c r="C21" s="5" t="inlineStr">
        <is>
          <t>relative %</t>
        </is>
      </c>
      <c r="D21" s="5" t="inlineStr">
        <is>
          <t>WP40 spec</t>
        </is>
      </c>
      <c r="E21" s="2" t="inlineStr">
        <is>
          <t>target &lt;= 3% on Apr-25 total MRR per scenario</t>
        </is>
      </c>
    </row>
    <row r="22">
      <c r="A22" s="5" t="inlineStr">
        <is>
          <t>Tolerance: scenario reconciliation, single segment</t>
        </is>
      </c>
      <c r="B22" s="13" t="n">
        <v>0.05</v>
      </c>
      <c r="C22" s="5" t="inlineStr">
        <is>
          <t>relative %</t>
        </is>
      </c>
      <c r="D22" s="5" t="inlineStr">
        <is>
          <t>Lead review (D-20)</t>
        </is>
      </c>
      <c r="E22" s="2" t="inlineStr">
        <is>
          <t>segment-level gaps are larger on small bases (e.g. SMB Bull stacks 3 levers); totals keep 3%</t>
        </is>
      </c>
    </row>
    <row r="23">
      <c r="A23" s="5" t="inlineStr">
        <is>
          <t>Tolerance: sheet CAC/LTV vs mart_a2_12</t>
        </is>
      </c>
      <c r="B23" s="13" t="n">
        <v>0.01</v>
      </c>
      <c r="C23" s="5" t="inlineStr">
        <is>
          <t>relative %</t>
        </is>
      </c>
      <c r="D23" s="5" t="inlineStr">
        <is>
          <t>WP40 spec</t>
        </is>
      </c>
      <c r="E23" s="2" t="inlineStr"/>
    </row>
    <row r="24">
      <c r="A24" s="5" t="inlineStr">
        <is>
          <t>QA target: Q1 total MRR Apr-24</t>
        </is>
      </c>
      <c r="B24" s="14" t="n">
        <v>204709.09</v>
      </c>
      <c r="C24" s="5" t="inlineStr">
        <is>
          <t>USD</t>
        </is>
      </c>
      <c r="D24" s="5" t="inlineStr">
        <is>
          <t>mart_q1_mrr_apr24</t>
        </is>
      </c>
      <c r="E24" s="2" t="inlineStr">
        <is>
          <t>sum of segments must tie to this</t>
        </is>
      </c>
    </row>
    <row r="25">
      <c r="A25" s="5" t="inlineStr">
        <is>
          <t>QA target: Q3 total active subs Apr-24</t>
        </is>
      </c>
      <c r="B25" s="12" t="n">
        <v>1941</v>
      </c>
      <c r="C25" s="5" t="inlineStr">
        <is>
          <t>customers</t>
        </is>
      </c>
      <c r="D25" s="5" t="inlineStr">
        <is>
          <t>mart_q3_active_subs_apr24</t>
        </is>
      </c>
      <c r="E25" s="2" t="inlineStr"/>
    </row>
    <row r="27">
      <c r="A27" s="3" t="inlineStr">
        <is>
          <t>Starting stock -- Apr-24 actuals (source: mart_q3_active_subs_apr24)</t>
        </is>
      </c>
      <c r="B27" s="4" t="n"/>
      <c r="C27" s="4" t="n"/>
      <c r="D27" s="4" t="n"/>
      <c r="E27" s="4" t="n"/>
      <c r="F27" s="4" t="n"/>
      <c r="G27" s="4" t="n"/>
    </row>
    <row r="28">
      <c r="A28" s="6" t="inlineStr">
        <is>
          <t>Segment</t>
        </is>
      </c>
      <c r="B28" s="6" t="inlineStr">
        <is>
          <t>Plan type</t>
        </is>
      </c>
      <c r="C28" s="6" t="inlineStr">
        <is>
          <t>Active subs (Apr-24)</t>
        </is>
      </c>
      <c r="D28" s="6" t="inlineStr"/>
      <c r="E28" s="6" t="inlineStr"/>
      <c r="F28" s="6" t="inlineStr"/>
      <c r="G28" s="6" t="inlineStr"/>
    </row>
    <row r="29">
      <c r="A29" s="5" t="inlineStr">
        <is>
          <t>B2C</t>
        </is>
      </c>
      <c r="B29" s="5" t="inlineStr">
        <is>
          <t>annual</t>
        </is>
      </c>
      <c r="C29" s="12" t="n">
        <v>692</v>
      </c>
    </row>
    <row r="30">
      <c r="A30" s="5" t="inlineStr">
        <is>
          <t>B2C</t>
        </is>
      </c>
      <c r="B30" s="5" t="inlineStr">
        <is>
          <t>monthly</t>
        </is>
      </c>
      <c r="C30" s="12" t="n">
        <v>844</v>
      </c>
    </row>
    <row r="31">
      <c r="A31" s="5" t="inlineStr">
        <is>
          <t>Enterprise</t>
        </is>
      </c>
      <c r="B31" s="5" t="inlineStr">
        <is>
          <t>annual</t>
        </is>
      </c>
      <c r="C31" s="12" t="n">
        <v>90</v>
      </c>
    </row>
    <row r="32">
      <c r="A32" s="5" t="inlineStr">
        <is>
          <t>Enterprise</t>
        </is>
      </c>
      <c r="B32" s="5" t="inlineStr">
        <is>
          <t>monthly</t>
        </is>
      </c>
      <c r="C32" s="12" t="n">
        <v>12</v>
      </c>
    </row>
    <row r="33">
      <c r="A33" s="5" t="inlineStr">
        <is>
          <t>SMB</t>
        </is>
      </c>
      <c r="B33" s="5" t="inlineStr">
        <is>
          <t>annual</t>
        </is>
      </c>
      <c r="C33" s="12" t="n">
        <v>190</v>
      </c>
    </row>
    <row r="34">
      <c r="A34" s="5" t="inlineStr">
        <is>
          <t>SMB</t>
        </is>
      </c>
      <c r="B34" s="5" t="inlineStr">
        <is>
          <t>monthly</t>
        </is>
      </c>
      <c r="C34" s="12" t="n">
        <v>113</v>
      </c>
    </row>
    <row r="36">
      <c r="A36" s="3" t="inlineStr">
        <is>
          <t>Starting MRR &amp; customers -- Apr-24 actuals (link to Data_MRR)</t>
        </is>
      </c>
      <c r="B36" s="4" t="n"/>
      <c r="C36" s="4" t="n"/>
      <c r="D36" s="4" t="n"/>
      <c r="E36" s="4" t="n"/>
      <c r="F36" s="4" t="n"/>
      <c r="G36" s="4" t="n"/>
    </row>
    <row r="37">
      <c r="A37" s="6" t="inlineStr">
        <is>
          <t>Segment</t>
        </is>
      </c>
      <c r="B37" s="6" t="inlineStr">
        <is>
          <t>Opening MRR (Apr-24)</t>
        </is>
      </c>
      <c r="C37" s="6" t="inlineStr">
        <is>
          <t>Opening customers (Apr-24)</t>
        </is>
      </c>
      <c r="D37" s="6" t="inlineStr"/>
      <c r="E37" s="6" t="inlineStr"/>
      <c r="F37" s="6" t="inlineStr"/>
      <c r="G37" s="6" t="inlineStr"/>
    </row>
    <row r="38">
      <c r="A38" s="5" t="inlineStr">
        <is>
          <t>B2C</t>
        </is>
      </c>
      <c r="B38" s="15">
        <f>SUMIFS(Data_MRR!$H:$H,Data_MRR!$B:$B,"B2C",Data_MRR!$A:$A,Assumptions!$B$10)</f>
        <v/>
      </c>
      <c r="C38" s="16">
        <f>SUMIFS(Data_MRR!$I:$I,Data_MRR!$B:$B,"B2C",Data_MRR!$A:$A,Assumptions!$B$10)</f>
        <v/>
      </c>
    </row>
    <row r="39">
      <c r="A39" s="5" t="inlineStr">
        <is>
          <t>SMB</t>
        </is>
      </c>
      <c r="B39" s="15">
        <f>SUMIFS(Data_MRR!$H:$H,Data_MRR!$B:$B,"SMB",Data_MRR!$A:$A,Assumptions!$B$10)</f>
        <v/>
      </c>
      <c r="C39" s="16">
        <f>SUMIFS(Data_MRR!$I:$I,Data_MRR!$B:$B,"SMB",Data_MRR!$A:$A,Assumptions!$B$10)</f>
        <v/>
      </c>
    </row>
    <row r="40">
      <c r="A40" s="5" t="inlineStr">
        <is>
          <t>Enterprise</t>
        </is>
      </c>
      <c r="B40" s="15">
        <f>SUMIFS(Data_MRR!$H:$H,Data_MRR!$B:$B,"Enterprise",Data_MRR!$A:$A,Assumptions!$B$10)</f>
        <v/>
      </c>
      <c r="C40" s="16">
        <f>SUMIFS(Data_MRR!$I:$I,Data_MRR!$B:$B,"Enterprise",Data_MRR!$A:$A,Assumptions!$B$10)</f>
        <v/>
      </c>
    </row>
    <row r="42">
      <c r="A42" s="3" t="inlineStr">
        <is>
          <t>Survival-curve tail parameters (Proposed A-23; source: mart_a2_11_lifetime.sql)</t>
        </is>
      </c>
      <c r="B42" s="4" t="n"/>
      <c r="C42" s="4" t="n"/>
      <c r="D42" s="4" t="n"/>
      <c r="E42" s="4" t="n"/>
      <c r="F42" s="4" t="n"/>
      <c r="G42" s="4" t="n"/>
    </row>
    <row r="43">
      <c r="A43" s="6" t="inlineStr">
        <is>
          <t>Segment</t>
        </is>
      </c>
      <c r="B43" s="6" t="inlineStr">
        <is>
          <t>Reliable horizon k_rel (months)</t>
        </is>
      </c>
      <c r="C43" s="6" t="inlineStr">
        <is>
          <t>Dollar tail decay/mo</t>
        </is>
      </c>
      <c r="D43" s="6" t="inlineStr">
        <is>
          <t>Logo tail churn/mo</t>
        </is>
      </c>
      <c r="E43" s="6" t="inlineStr"/>
      <c r="F43" s="6" t="inlineStr"/>
      <c r="G43" s="6" t="inlineStr"/>
    </row>
    <row r="44">
      <c r="A44" s="5" t="inlineStr">
        <is>
          <t>B2C</t>
        </is>
      </c>
      <c r="B44" s="12" t="n">
        <v>15</v>
      </c>
      <c r="C44" s="17" t="n">
        <v>0.04942971291446863</v>
      </c>
      <c r="D44" s="17" t="n">
        <v>0.03515971654422534</v>
      </c>
    </row>
    <row r="45">
      <c r="A45" s="5" t="inlineStr">
        <is>
          <t>SMB</t>
        </is>
      </c>
      <c r="B45" s="12" t="n">
        <v>14</v>
      </c>
      <c r="C45" s="17" t="n">
        <v>0.01222673117127371</v>
      </c>
      <c r="D45" s="17" t="n">
        <v>0.01222673117127371</v>
      </c>
    </row>
    <row r="46">
      <c r="A46" s="5" t="inlineStr">
        <is>
          <t>Enterprise</t>
        </is>
      </c>
      <c r="B46" s="12" t="n">
        <v>11</v>
      </c>
      <c r="C46" s="17" t="n">
        <v>0.01832296690674828</v>
      </c>
      <c r="D46" s="17" t="n">
        <v>0.01405419943512776</v>
      </c>
    </row>
    <row r="47">
      <c r="A47" s="2" t="inlineStr">
        <is>
          <t>A-23 (new, proposed): the tail decay/churn rate itself (computed in SQL by the cascading last3-&gt;last6-&gt;full_range fallback logic, A-16/A-17) is exposed here as a plain input so the 60-month curve can be rebuilt with formulas on UnitEconomics, per the WP40 spec ('build the 60-row monthly curve on the tab itself... using the tail churn from Assumptions'). The cascading SELECTION of which window to use is not re-derived in the Sheet.</t>
        </is>
      </c>
    </row>
    <row r="49">
      <c r="A49" s="3" t="inlineStr">
        <is>
          <t>Scenario engine drivers -- T6M calibration (source: mart_s_01_drivers / WP31 sheet_inputs.csv S-002..S-037)</t>
        </is>
      </c>
      <c r="B49" s="4" t="n"/>
      <c r="C49" s="4" t="n"/>
      <c r="D49" s="4" t="n"/>
      <c r="E49" s="4" t="n"/>
      <c r="F49" s="4" t="n"/>
      <c r="G49" s="4" t="n"/>
    </row>
    <row r="50">
      <c r="A50" s="6" t="inlineStr">
        <is>
          <t>Driver</t>
        </is>
      </c>
      <c r="B50" s="6" t="inlineStr">
        <is>
          <t>B2C</t>
        </is>
      </c>
      <c r="C50" s="6" t="inlineStr">
        <is>
          <t>SMB</t>
        </is>
      </c>
      <c r="D50" s="6" t="inlineStr">
        <is>
          <t>Enterprise</t>
        </is>
      </c>
      <c r="E50" s="6" t="inlineStr">
        <is>
          <t>Unit</t>
        </is>
      </c>
      <c r="F50" s="6" t="inlineStr">
        <is>
          <t>Source IDs (B2C/SMB/Ent)</t>
        </is>
      </c>
      <c r="G50" s="6" t="inlineStr">
        <is>
          <t>Note</t>
        </is>
      </c>
    </row>
    <row r="51">
      <c r="A51" s="5" t="inlineStr">
        <is>
          <t>new_customers_per_month_avg</t>
        </is>
      </c>
      <c r="B51" s="18">
        <f>INDEX(Assumptions!$C$305:$C$362,MATCH("S-002",Assumptions!$A$305:$A$362,0))</f>
        <v/>
      </c>
      <c r="C51" s="18">
        <f>INDEX(Assumptions!$C$305:$C$362,MATCH("S-026",Assumptions!$A$305:$A$362,0))</f>
        <v/>
      </c>
      <c r="D51" s="18">
        <f>INDEX(Assumptions!$C$305:$C$362,MATCH("S-014",Assumptions!$A$305:$A$362,0))</f>
        <v/>
      </c>
      <c r="E51" s="5" t="inlineStr">
        <is>
          <t>customers/month</t>
        </is>
      </c>
      <c r="F51" s="5" t="inlineStr">
        <is>
          <t>S-002/S-026/S-014</t>
        </is>
      </c>
      <c r="G51" s="2" t="inlineStr">
        <is>
          <t>T6M average new paying customers</t>
        </is>
      </c>
    </row>
    <row r="52">
      <c r="A52" s="5" t="inlineStr">
        <is>
          <t>new_customers_trend_slope</t>
        </is>
      </c>
      <c r="B52" s="18">
        <f>INDEX(Assumptions!$C$305:$C$362,MATCH("S-003",Assumptions!$A$305:$A$362,0))</f>
        <v/>
      </c>
      <c r="C52" s="18">
        <f>INDEX(Assumptions!$C$305:$C$362,MATCH("S-027",Assumptions!$A$305:$A$362,0))</f>
        <v/>
      </c>
      <c r="D52" s="18">
        <f>INDEX(Assumptions!$C$305:$C$362,MATCH("S-015",Assumptions!$A$305:$A$362,0))</f>
        <v/>
      </c>
      <c r="E52" s="5" t="inlineStr">
        <is>
          <t>customers/month per month</t>
        </is>
      </c>
      <c r="F52" s="5" t="inlineStr">
        <is>
          <t>S-003/S-027/S-015</t>
        </is>
      </c>
      <c r="G52" s="2" t="inlineStr">
        <is>
          <t>OLS trend over the T6M window; used in Bull only, floored at the flat average</t>
        </is>
      </c>
    </row>
    <row r="53">
      <c r="A53" s="5" t="inlineStr">
        <is>
          <t>arpa_new_customer_monthly_plan</t>
        </is>
      </c>
      <c r="B53" s="18">
        <f>INDEX(Assumptions!$C$305:$C$362,MATCH("S-009",Assumptions!$A$305:$A$362,0))</f>
        <v/>
      </c>
      <c r="C53" s="18">
        <f>INDEX(Assumptions!$C$305:$C$362,MATCH("S-033",Assumptions!$A$305:$A$362,0))</f>
        <v/>
      </c>
      <c r="D53" s="18">
        <f>INDEX(Assumptions!$C$305:$C$362,MATCH("S-021",Assumptions!$A$305:$A$362,0))</f>
        <v/>
      </c>
      <c r="E53" s="5" t="inlineStr">
        <is>
          <t>$/month</t>
        </is>
      </c>
      <c r="F53" s="5" t="inlineStr">
        <is>
          <t>S-009/S-033/S-021</t>
        </is>
      </c>
      <c r="G53" s="2" t="inlineStr">
        <is>
          <t>avg mrr of new monthly-plan subs, T6M</t>
        </is>
      </c>
    </row>
    <row r="54">
      <c r="A54" s="5" t="inlineStr">
        <is>
          <t>arpa_new_customer_annual_plan</t>
        </is>
      </c>
      <c r="B54" s="18">
        <f>INDEX(Assumptions!$C$305:$C$362,MATCH("S-004",Assumptions!$A$305:$A$362,0))</f>
        <v/>
      </c>
      <c r="C54" s="18">
        <f>INDEX(Assumptions!$C$305:$C$362,MATCH("S-028",Assumptions!$A$305:$A$362,0))</f>
        <v/>
      </c>
      <c r="D54" s="18">
        <f>INDEX(Assumptions!$C$305:$C$362,MATCH("S-016",Assumptions!$A$305:$A$362,0))</f>
        <v/>
      </c>
      <c r="E54" s="5" t="inlineStr">
        <is>
          <t>$/month</t>
        </is>
      </c>
      <c r="F54" s="5" t="inlineStr">
        <is>
          <t>S-004/S-028/S-016</t>
        </is>
      </c>
      <c r="G54" s="2" t="inlineStr">
        <is>
          <t>avg mrr of new annual-plan subs, T6M</t>
        </is>
      </c>
    </row>
    <row r="55">
      <c r="A55" s="5" t="inlineStr">
        <is>
          <t>plan_mix_share_monthly (of new custs)</t>
        </is>
      </c>
      <c r="B55" s="18">
        <f>INDEX(Assumptions!$C$305:$C$362,MATCH("S-013",Assumptions!$A$305:$A$362,0))</f>
        <v/>
      </c>
      <c r="C55" s="18">
        <f>INDEX(Assumptions!$C$305:$C$362,MATCH("S-037",Assumptions!$A$305:$A$362,0))</f>
        <v/>
      </c>
      <c r="D55" s="18">
        <f>INDEX(Assumptions!$C$305:$C$362,MATCH("S-025",Assumptions!$A$305:$A$362,0))</f>
        <v/>
      </c>
      <c r="E55" s="5" t="inlineStr">
        <is>
          <t>fraction</t>
        </is>
      </c>
      <c r="F55" s="5" t="inlineStr">
        <is>
          <t>S-013/S-037/S-025</t>
        </is>
      </c>
      <c r="G55" s="2" t="inlineStr">
        <is>
          <t>T6M share of new customers on the monthly plan</t>
        </is>
      </c>
    </row>
    <row r="56">
      <c r="A56" s="5" t="inlineStr">
        <is>
          <t>plan_mix_share_annual (of new custs)</t>
        </is>
      </c>
      <c r="B56" s="18">
        <f>INDEX(Assumptions!$C$305:$C$362,MATCH("S-008",Assumptions!$A$305:$A$362,0))</f>
        <v/>
      </c>
      <c r="C56" s="18">
        <f>INDEX(Assumptions!$C$305:$C$362,MATCH("S-032",Assumptions!$A$305:$A$362,0))</f>
        <v/>
      </c>
      <c r="D56" s="18">
        <f>INDEX(Assumptions!$C$305:$C$362,MATCH("S-020",Assumptions!$A$305:$A$362,0))</f>
        <v/>
      </c>
      <c r="E56" s="5" t="inlineStr">
        <is>
          <t>fraction</t>
        </is>
      </c>
      <c r="F56" s="5" t="inlineStr">
        <is>
          <t>S-008/S-032/S-020</t>
        </is>
      </c>
      <c r="G56" s="2" t="inlineStr">
        <is>
          <t>T6M share of new customers on the annual plan</t>
        </is>
      </c>
    </row>
    <row r="57">
      <c r="A57" s="5" t="inlineStr">
        <is>
          <t>churn_rate_monthly_plan</t>
        </is>
      </c>
      <c r="B57" s="18">
        <f>INDEX(Assumptions!$C$305:$C$362,MATCH("S-010",Assumptions!$A$305:$A$362,0))</f>
        <v/>
      </c>
      <c r="C57" s="18">
        <f>INDEX(Assumptions!$C$305:$C$362,MATCH("S-034",Assumptions!$A$305:$A$362,0))</f>
        <v/>
      </c>
      <c r="D57" s="18">
        <f>INDEX(Assumptions!$C$305:$C$362,MATCH("S-022",Assumptions!$A$305:$A$362,0))</f>
        <v/>
      </c>
      <c r="E57" s="5" t="inlineStr">
        <is>
          <t>fraction/month</t>
        </is>
      </c>
      <c r="F57" s="5" t="inlineStr">
        <is>
          <t>S-010/S-034/S-022</t>
        </is>
      </c>
      <c r="G57" s="2" t="inlineStr">
        <is>
          <t>renewal-basis, T6M</t>
        </is>
      </c>
    </row>
    <row r="58">
      <c r="A58" s="5" t="inlineStr">
        <is>
          <t>churn_rate_annual_plan (monthly-equiv, A-19c)</t>
        </is>
      </c>
      <c r="B58" s="18">
        <f>INDEX(Assumptions!$C$305:$C$362,MATCH("S-005",Assumptions!$A$305:$A$362,0))</f>
        <v/>
      </c>
      <c r="C58" s="18">
        <f>INDEX(Assumptions!$C$305:$C$362,MATCH("S-029",Assumptions!$A$305:$A$362,0))</f>
        <v/>
      </c>
      <c r="D58" s="18">
        <f>INDEX(Assumptions!$C$305:$C$362,MATCH("S-017",Assumptions!$A$305:$A$362,0))</f>
        <v/>
      </c>
      <c r="E58" s="5" t="inlineStr">
        <is>
          <t>fraction/month</t>
        </is>
      </c>
      <c r="F58" s="5" t="inlineStr">
        <is>
          <t>S-005/S-029/S-017</t>
        </is>
      </c>
      <c r="G58" s="2" t="inlineStr">
        <is>
          <t>annual rate converted via 1-(1-r)^(1/12)</t>
        </is>
      </c>
    </row>
    <row r="59">
      <c r="A59" s="5" t="inlineStr">
        <is>
          <t>expansion_rate_monthly (B2B; B2C=0 by construction)</t>
        </is>
      </c>
      <c r="B59" s="18">
        <f>INDEX(Assumptions!$C$305:$C$362,MATCH("S-012",Assumptions!$A$305:$A$362,0))</f>
        <v/>
      </c>
      <c r="C59" s="18">
        <f>INDEX(Assumptions!$C$305:$C$362,MATCH("S-036",Assumptions!$A$305:$A$362,0))</f>
        <v/>
      </c>
      <c r="D59" s="18">
        <f>INDEX(Assumptions!$C$305:$C$362,MATCH("S-024",Assumptions!$A$305:$A$362,0))</f>
        <v/>
      </c>
      <c r="E59" s="5" t="inlineStr">
        <is>
          <t>fraction/mo of retained MRR</t>
        </is>
      </c>
      <c r="F59" s="5" t="inlineStr">
        <is>
          <t>S-012/S-036/S-024</t>
        </is>
      </c>
      <c r="G59" s="2" t="inlineStr">
        <is>
          <t>identical for monthly/annual buckets in the source decomposition</t>
        </is>
      </c>
    </row>
    <row r="60">
      <c r="A60" s="5" t="inlineStr">
        <is>
          <t>contraction_rate_monthly (B2B; B2C=0 by construction)</t>
        </is>
      </c>
      <c r="B60" s="18">
        <f>INDEX(Assumptions!$C$305:$C$362,MATCH("S-011",Assumptions!$A$305:$A$362,0))</f>
        <v/>
      </c>
      <c r="C60" s="18">
        <f>INDEX(Assumptions!$C$305:$C$362,MATCH("S-035",Assumptions!$A$305:$A$362,0))</f>
        <v/>
      </c>
      <c r="D60" s="18">
        <f>INDEX(Assumptions!$C$305:$C$362,MATCH("S-023",Assumptions!$A$305:$A$362,0))</f>
        <v/>
      </c>
      <c r="E60" s="5" t="inlineStr">
        <is>
          <t>fraction/mo of retained MRR</t>
        </is>
      </c>
      <c r="F60" s="5" t="inlineStr">
        <is>
          <t>S-011/S-035/S-023</t>
        </is>
      </c>
      <c r="G60" s="2" t="inlineStr">
        <is>
          <t>identical for monthly/annual buckets in the source decomposition</t>
        </is>
      </c>
    </row>
    <row r="62">
      <c r="A62" s="3" t="inlineStr">
        <is>
          <t>Bear scenario stress constants (Proposed A-19; source: WP31 sheet_inputs.csv)</t>
        </is>
      </c>
      <c r="B62" s="4" t="n"/>
      <c r="C62" s="4" t="n"/>
      <c r="D62" s="4" t="n"/>
      <c r="E62" s="4" t="n"/>
      <c r="F62" s="4" t="n"/>
      <c r="G62" s="4" t="n"/>
    </row>
    <row r="63">
      <c r="A63" s="6" t="inlineStr">
        <is>
          <t>Constant</t>
        </is>
      </c>
      <c r="B63" s="6" t="inlineStr">
        <is>
          <t>Value</t>
        </is>
      </c>
      <c r="C63" s="6" t="inlineStr">
        <is>
          <t>Unit</t>
        </is>
      </c>
      <c r="D63" s="6" t="inlineStr">
        <is>
          <t>Source ID</t>
        </is>
      </c>
      <c r="E63" s="6" t="inlineStr">
        <is>
          <t>Note</t>
        </is>
      </c>
      <c r="F63" s="6" t="inlineStr"/>
      <c r="G63" s="6" t="inlineStr"/>
    </row>
    <row r="64">
      <c r="A64" s="5" t="inlineStr">
        <is>
          <t>Acquisition relative decline (all segments)</t>
        </is>
      </c>
      <c r="B64" s="19">
        <f>INDEX(Assumptions!$C$305:$C$362,MATCH("S-038",Assumptions!$A$305:$A$362,0))</f>
        <v/>
      </c>
      <c r="C64" s="5" t="inlineStr">
        <is>
          <t>relative %</t>
        </is>
      </c>
      <c r="D64" s="5" t="inlineStr">
        <is>
          <t>S-038</t>
        </is>
      </c>
      <c r="E64" s="2" t="inlineStr">
        <is>
          <t>~1.5x the worst observed single-month new-customer decline, sustained 12mo</t>
        </is>
      </c>
    </row>
    <row r="65">
      <c r="A65" s="5" t="inlineStr">
        <is>
          <t>Churn relative increase (all segments)</t>
        </is>
      </c>
      <c r="B65" s="19">
        <f>INDEX(Assumptions!$C$305:$C$362,MATCH("S-039",Assumptions!$A$305:$A$362,0))</f>
        <v/>
      </c>
      <c r="C65" s="5" t="inlineStr">
        <is>
          <t>relative %</t>
        </is>
      </c>
      <c r="D65" s="5" t="inlineStr">
        <is>
          <t>S-039</t>
        </is>
      </c>
      <c r="E65" s="2" t="inlineStr">
        <is>
          <t>largest observed positive MoM deviation in B2C-monthly churn</t>
        </is>
      </c>
    </row>
    <row r="66">
      <c r="A66" s="5" t="inlineStr">
        <is>
          <t>SMB expansion multiplier</t>
        </is>
      </c>
      <c r="B66" s="19">
        <f>INDEX(Assumptions!$C$305:$C$362,MATCH("S-041",Assumptions!$A$305:$A$362,0))</f>
        <v/>
      </c>
      <c r="C66" s="5" t="inlineStr">
        <is>
          <t>multiplier</t>
        </is>
      </c>
      <c r="D66" s="5" t="inlineStr">
        <is>
          <t>S-041</t>
        </is>
      </c>
      <c r="E66" s="2" t="inlineStr">
        <is>
          <t>brief: bear = expansion halved</t>
        </is>
      </c>
    </row>
    <row r="67">
      <c r="A67" s="5" t="inlineStr">
        <is>
          <t>Enterprise expansion multiplier</t>
        </is>
      </c>
      <c r="B67" s="19">
        <f>INDEX(Assumptions!$C$305:$C$362,MATCH("S-040",Assumptions!$A$305:$A$362,0))</f>
        <v/>
      </c>
      <c r="C67" s="5" t="inlineStr">
        <is>
          <t>multiplier</t>
        </is>
      </c>
      <c r="D67" s="5" t="inlineStr">
        <is>
          <t>S-040</t>
        </is>
      </c>
      <c r="E67" s="2" t="inlineStr">
        <is>
          <t>brief: bear = expansion halved</t>
        </is>
      </c>
    </row>
    <row r="69">
      <c r="A69" s="3" t="inlineStr">
        <is>
          <t>Bull scenario levers -- WP23 strategies at base case (Proposed A-20/A-21/A-22; source: WP31 sheet_inputs.csv)</t>
        </is>
      </c>
      <c r="B69" s="4" t="n"/>
      <c r="C69" s="4" t="n"/>
      <c r="D69" s="4" t="n"/>
      <c r="E69" s="4" t="n"/>
      <c r="F69" s="4" t="n"/>
      <c r="G69" s="4" t="n"/>
    </row>
    <row r="70">
      <c r="A70" s="6" t="inlineStr">
        <is>
          <t>Lever</t>
        </is>
      </c>
      <c r="B70" s="6" t="inlineStr">
        <is>
          <t>Value</t>
        </is>
      </c>
      <c r="C70" s="6" t="inlineStr">
        <is>
          <t>Unit</t>
        </is>
      </c>
      <c r="D70" s="6" t="inlineStr">
        <is>
          <t>Source ID</t>
        </is>
      </c>
      <c r="E70" s="6" t="inlineStr">
        <is>
          <t>Note</t>
        </is>
      </c>
      <c r="F70" s="6" t="inlineStr"/>
      <c r="G70" s="6" t="inlineStr"/>
    </row>
    <row r="71">
      <c r="A71" s="5" t="inlineStr">
        <is>
          <t>Strategy-1 churn save rate (monthly-plan churn only, all segments)</t>
        </is>
      </c>
      <c r="B71" s="19">
        <f>INDEX(Assumptions!$C$305:$C$362,MATCH("S-043",Assumptions!$A$305:$A$362,0))</f>
        <v/>
      </c>
      <c r="C71" s="5" t="inlineStr">
        <is>
          <t>fraction saved</t>
        </is>
      </c>
      <c r="D71" s="5" t="inlineStr">
        <is>
          <t>S-043</t>
        </is>
      </c>
      <c r="E71" s="2" t="inlineStr">
        <is>
          <t>base case (low 10% / high 30%)</t>
        </is>
      </c>
    </row>
    <row r="72">
      <c r="A72" s="5" t="inlineStr">
        <is>
          <t>Strategy-2 B2C monthly-&gt;annual migration rate</t>
        </is>
      </c>
      <c r="B72" s="19">
        <f>INDEX(Assumptions!$C$305:$C$362,MATCH("S-044",Assumptions!$A$305:$A$362,0))</f>
        <v/>
      </c>
      <c r="C72" s="5" t="inlineStr">
        <is>
          <t>fraction/month</t>
        </is>
      </c>
      <c r="D72" s="5" t="inlineStr">
        <is>
          <t>S-044</t>
        </is>
      </c>
      <c r="E72" s="2" t="inlineStr">
        <is>
          <t>NOT modelled in the simplified Scenarios engine below (see gap note); shown here for completeness / used on the Strategies tab</t>
        </is>
      </c>
    </row>
    <row r="73">
      <c r="A73" s="5" t="inlineStr">
        <is>
          <t>Strategy-3 SMB expansion uplift</t>
        </is>
      </c>
      <c r="B73" s="19">
        <f>INDEX(Assumptions!$C$305:$C$362,MATCH("S-046",Assumptions!$A$305:$A$362,0))</f>
        <v/>
      </c>
      <c r="C73" s="5" t="inlineStr">
        <is>
          <t>relative %</t>
        </is>
      </c>
      <c r="D73" s="5" t="inlineStr">
        <is>
          <t>S-046</t>
        </is>
      </c>
      <c r="E73" s="2" t="inlineStr">
        <is>
          <t>base case (low 20% / high 60%)</t>
        </is>
      </c>
    </row>
    <row r="74">
      <c r="A74" s="5" t="inlineStr">
        <is>
          <t>Strategy-3 Enterprise contraction reduction</t>
        </is>
      </c>
      <c r="B74" s="19">
        <f>INDEX(Assumptions!$C$305:$C$362,MATCH("S-045",Assumptions!$A$305:$A$362,0))</f>
        <v/>
      </c>
      <c r="C74" s="5" t="inlineStr">
        <is>
          <t>relative %</t>
        </is>
      </c>
      <c r="D74" s="5" t="inlineStr">
        <is>
          <t>S-045</t>
        </is>
      </c>
      <c r="E74" s="2" t="inlineStr">
        <is>
          <t>base case (low 30% / high 70%)</t>
        </is>
      </c>
    </row>
    <row r="76">
      <c r="A76" s="3" t="inlineStr">
        <is>
          <t>Strategy-1 illustrative check inputs (source: mart_a1_06_may24_churn_risk, D-16 risk tiers)</t>
        </is>
      </c>
      <c r="B76" s="4" t="n"/>
      <c r="C76" s="4" t="n"/>
      <c r="D76" s="4" t="n"/>
      <c r="E76" s="4" t="n"/>
      <c r="F76" s="4" t="n"/>
      <c r="G76" s="4" t="n"/>
    </row>
    <row r="77">
      <c r="A77" s="5" t="inlineStr">
        <is>
          <t>May-24 High+Medium risk MRR (flagged)</t>
        </is>
      </c>
      <c r="B77" s="14" t="n">
        <v>5494.61</v>
      </c>
      <c r="C77" s="5" t="inlineStr">
        <is>
          <t>USD</t>
        </is>
      </c>
      <c r="D77" s="5" t="inlineStr">
        <is>
          <t>mart_a1_06_may24_churn_risk</t>
        </is>
      </c>
      <c r="E77" s="2" t="inlineStr">
        <is>
          <t>sum(mrr) where risk_tier in (High, Medium)</t>
        </is>
      </c>
    </row>
    <row r="78">
      <c r="A78" s="5" t="inlineStr">
        <is>
          <t>...of which expected to churn (mrr_at_risk)</t>
        </is>
      </c>
      <c r="B78" s="14" t="n">
        <v>3812.357399054592</v>
      </c>
      <c r="C78" s="5" t="inlineStr">
        <is>
          <t>USD</t>
        </is>
      </c>
      <c r="D78" s="5" t="inlineStr">
        <is>
          <t>mart_a1_06_may24_churn_risk</t>
        </is>
      </c>
      <c r="E78" s="2" t="inlineStr">
        <is>
          <t>sum(mrr_at_risk) where risk_tier in (High, Medium)</t>
        </is>
      </c>
    </row>
    <row r="200">
      <c r="A200" s="3" t="inlineStr">
        <is>
          <t>Full assumptions register -- traceability (WP21 sheet_inputs.csv, A2-001..A2-099)</t>
        </is>
      </c>
      <c r="B200" s="4" t="n"/>
      <c r="C200" s="4" t="n"/>
      <c r="D200" s="4" t="n"/>
      <c r="E200" s="4" t="n"/>
      <c r="F200" s="4" t="n"/>
      <c r="G200" s="4" t="n"/>
    </row>
    <row r="201">
      <c r="A201" s="6" t="inlineStr">
        <is>
          <t>id</t>
        </is>
      </c>
      <c r="B201" s="6" t="inlineStr">
        <is>
          <t>name</t>
        </is>
      </c>
      <c r="C201" s="6" t="inlineStr">
        <is>
          <t>value</t>
        </is>
      </c>
      <c r="D201" s="6" t="inlineStr">
        <is>
          <t>unit</t>
        </is>
      </c>
      <c r="E201" s="6" t="inlineStr">
        <is>
          <t>source</t>
        </is>
      </c>
      <c r="F201" s="6" t="inlineStr">
        <is>
          <t>note</t>
        </is>
      </c>
    </row>
    <row r="202">
      <c r="A202" s="9" t="inlineStr">
        <is>
          <t>A2-001</t>
        </is>
      </c>
      <c r="B202" s="9" t="inlineStr">
        <is>
          <t>D-06: CAC denominator</t>
        </is>
      </c>
      <c r="C202" s="20" t="inlineStr">
        <is>
          <t>new paying customers (users.csv signups)</t>
        </is>
      </c>
      <c r="D202" s="9" t="inlineStr">
        <is>
          <t>definition</t>
        </is>
      </c>
      <c r="E202" s="9" t="inlineStr">
        <is>
          <t>D-06 (approved)</t>
        </is>
      </c>
      <c r="F202" s="9" t="inlineStr">
        <is>
          <t>marketing new_users_acquired reported only as a funnel metric, not the CAC denominator</t>
        </is>
      </c>
    </row>
    <row r="203">
      <c r="A203" s="9" t="inlineStr">
        <is>
          <t>A2-002</t>
        </is>
      </c>
      <c r="B203" s="9" t="inlineStr">
        <is>
          <t>D-05: G&amp;A allocation formula</t>
        </is>
      </c>
      <c r="C203" s="20" t="inlineStr">
        <is>
          <t>marketing / (marketing + support costs) x total G&amp;A</t>
        </is>
      </c>
      <c r="D203" s="9" t="inlineStr">
        <is>
          <t>formula</t>
        </is>
      </c>
      <c r="E203" s="9" t="inlineStr">
        <is>
          <t>D-05 (proposed)</t>
        </is>
      </c>
      <c r="F203" s="9" t="inlineStr">
        <is>
          <t>support costs = CS Salaries + Infrastructure + Content Production (excl. G&amp;A itself)</t>
        </is>
      </c>
    </row>
    <row r="204">
      <c r="A204" s="9" t="inlineStr">
        <is>
          <t>A2-003</t>
        </is>
      </c>
      <c r="B204" s="9" t="inlineStr">
        <is>
          <t>D-05: G&amp;A segment split (base)</t>
        </is>
      </c>
      <c r="C204" s="20" t="inlineStr">
        <is>
          <t>by segment share of marketing spend</t>
        </is>
      </c>
      <c r="D204" s="9" t="inlineStr">
        <is>
          <t>definition</t>
        </is>
      </c>
      <c r="E204" s="9" t="inlineStr">
        <is>
          <t>D-05 (proposed)</t>
        </is>
      </c>
      <c r="F204" s="9" t="inlineStr">
        <is>
          <t>sensitivity: by share of new customers</t>
        </is>
      </c>
    </row>
    <row r="205">
      <c r="A205" s="9" t="inlineStr">
        <is>
          <t>A2-004</t>
        </is>
      </c>
      <c r="B205" s="9" t="inlineStr">
        <is>
          <t>GM allocation (base, revised)</t>
        </is>
      </c>
      <c r="C205" s="20" t="inlineStr">
        <is>
          <t>all COGS (CS Salaries + Infrastructure + Content Production) by MRR share</t>
        </is>
      </c>
      <c r="D205" s="9" t="inlineStr">
        <is>
          <t>definition</t>
        </is>
      </c>
      <c r="E205" s="9" t="inlineStr">
        <is>
          <t>results.md WP21 (lead-analyst review)</t>
        </is>
      </c>
      <c r="F205" s="9" t="inlineStr">
        <is>
          <t>neutral default with no cost-driver data; forces uniform GM% across segments by construction</t>
        </is>
      </c>
    </row>
    <row r="206">
      <c r="A206" s="9" t="inlineStr">
        <is>
          <t>A2-005</t>
        </is>
      </c>
      <c r="B206" s="9" t="inlineStr">
        <is>
          <t>GM allocation (downside sensitivity)</t>
        </is>
      </c>
      <c r="C206" s="20" t="inlineStr">
        <is>
          <t>CS Salaries &amp; Infrastructure by active-customer share; Content by MRR share</t>
        </is>
      </c>
      <c r="D206" s="9" t="inlineStr">
        <is>
          <t>definition</t>
        </is>
      </c>
      <c r="E206" s="9" t="inlineStr">
        <is>
          <t>results.md WP21</t>
        </is>
      </c>
      <c r="F206" s="9" t="inlineStr">
        <is>
          <t>was the base case in the prior draft (-37% B2C GM%); demoted to sensitivity per review</t>
        </is>
      </c>
    </row>
    <row r="207">
      <c r="A207" s="9" t="inlineStr">
        <is>
          <t>A2-006</t>
        </is>
      </c>
      <c r="B207" s="9" t="inlineStr">
        <is>
          <t>Proposed A-15: survival curve reliability threshold</t>
        </is>
      </c>
      <c r="C207" s="20" t="inlineStr">
        <is>
          <t>20</t>
        </is>
      </c>
      <c r="D207" s="9" t="inlineStr">
        <is>
          <t>min cohort exposure n per k</t>
        </is>
      </c>
      <c r="E207" s="9" t="inlineStr">
        <is>
          <t>mart_a2_11_lifetime.sql</t>
        </is>
      </c>
      <c r="F207" s="9" t="inlineStr">
        <is>
          <t>k-points with exposed_n below this are dropped as unreliable/too-censored</t>
        </is>
      </c>
    </row>
    <row r="208">
      <c r="A208" s="9" t="inlineStr">
        <is>
          <t>A2-007</t>
        </is>
      </c>
      <c r="B208" s="9" t="inlineStr">
        <is>
          <t>Proposed A-16: dollar curve tail fallback</t>
        </is>
      </c>
      <c r="C208" s="20" t="inlineStr">
        <is>
          <t>use logo tail churn</t>
        </is>
      </c>
      <c r="D208" s="9" t="inlineStr">
        <is>
          <t>rule</t>
        </is>
      </c>
      <c r="E208" s="9" t="inlineStr">
        <is>
          <t>mart_a2_11_lifetime.sql</t>
        </is>
      </c>
      <c r="F208" s="9" t="inlineStr">
        <is>
          <t>applied when no window shows net dollar decay (net expansion in the tail)</t>
        </is>
      </c>
    </row>
    <row r="209">
      <c r="A209" s="9" t="inlineStr">
        <is>
          <t>A2-008</t>
        </is>
      </c>
      <c r="B209" s="9" t="inlineStr">
        <is>
          <t>Proposed A-17: dollar curve tail floor</t>
        </is>
      </c>
      <c r="C209" s="20" t="inlineStr">
        <is>
          <t>dollar decay &gt;= logo tail churn</t>
        </is>
      </c>
      <c r="D209" s="9" t="inlineStr">
        <is>
          <t>rule</t>
        </is>
      </c>
      <c r="E209" s="9" t="inlineStr">
        <is>
          <t>mart_a2_11_lifetime.sql</t>
        </is>
      </c>
      <c r="F209" s="9" t="inlineStr">
        <is>
          <t>prevents implausible multi-decade LTV when dollar-tail decay is near zero on a small sample (SMB)</t>
        </is>
      </c>
    </row>
    <row r="210">
      <c r="A210" s="9" t="inlineStr">
        <is>
          <t>A2-009</t>
        </is>
      </c>
      <c r="B210" s="9" t="inlineStr">
        <is>
          <t>Proposed A-18: LTV horizon cap</t>
        </is>
      </c>
      <c r="C210" s="20" t="inlineStr">
        <is>
          <t>60 months (base)</t>
        </is>
      </c>
      <c r="D210" s="9" t="inlineStr">
        <is>
          <t>months</t>
        </is>
      </c>
      <c r="E210" s="9" t="inlineStr">
        <is>
          <t>mart_a2_11_lifetime.sql</t>
        </is>
      </c>
      <c r="F210" s="9" t="inlineStr">
        <is>
          <t>sensitivity 36 months; uncapped reference also reported</t>
        </is>
      </c>
    </row>
    <row r="211">
      <c r="A211" s="9" t="inlineStr">
        <is>
          <t>A2-010</t>
        </is>
      </c>
      <c r="B211" s="9" t="inlineStr">
        <is>
          <t>Tail churn estimation window</t>
        </is>
      </c>
      <c r="C211" s="20" t="inlineStr">
        <is>
          <t>cascading last3 -&gt; last6 -&gt; full_range average of period-over-period ratios</t>
        </is>
      </c>
      <c r="D211" s="9" t="inlineStr">
        <is>
          <t>method</t>
        </is>
      </c>
      <c r="E211" s="9" t="inlineStr">
        <is>
          <t>mart_a2_11_lifetime.sql</t>
        </is>
      </c>
    </row>
    <row r="212">
      <c r="A212" s="9" t="inlineStr">
        <is>
          <t>A2-011</t>
        </is>
      </c>
      <c r="B212" s="9" t="inlineStr">
        <is>
          <t>ARPA / GM% base window</t>
        </is>
      </c>
      <c r="C212" s="20" t="inlineStr">
        <is>
          <t>T6M average (Nov-23..Apr-24)</t>
        </is>
      </c>
      <c r="D212" s="9" t="inlineStr">
        <is>
          <t>period</t>
        </is>
      </c>
      <c r="E212" s="9" t="inlineStr">
        <is>
          <t>mart_a2_08/09</t>
        </is>
      </c>
      <c r="F212" s="9" t="inlineStr">
        <is>
          <t>T16M and Apr-24 snapshot also reported</t>
        </is>
      </c>
    </row>
    <row r="213">
      <c r="A213" s="9" t="inlineStr">
        <is>
          <t>A2-012</t>
        </is>
      </c>
      <c r="B213" s="9" t="inlineStr">
        <is>
          <t>Enterprise payback benchmark</t>
        </is>
      </c>
      <c r="C213" s="20" t="inlineStr">
        <is>
          <t>18</t>
        </is>
      </c>
      <c r="D213" s="9" t="inlineStr">
        <is>
          <t>months</t>
        </is>
      </c>
      <c r="E213" s="9" t="inlineStr">
        <is>
          <t>SaaS benchmark (brief)</t>
        </is>
      </c>
      <c r="F213" s="9" t="inlineStr">
        <is>
          <t>vs 12 months for B2C/SMB; LTV:CAC benchmark = 3.0x for all segments</t>
        </is>
      </c>
    </row>
    <row r="214">
      <c r="A214" s="9" t="inlineStr">
        <is>
          <t>A2-013</t>
        </is>
      </c>
      <c r="B214" s="9" t="inlineStr">
        <is>
          <t>Enterprise: marketing spend (T16M)</t>
        </is>
      </c>
      <c r="C214" s="20" t="inlineStr">
        <is>
          <t>481235.59</t>
        </is>
      </c>
      <c r="D214" s="9" t="inlineStr">
        <is>
          <t>USD</t>
        </is>
      </c>
      <c r="E214" s="9" t="inlineStr">
        <is>
          <t>mart_a2_02/03</t>
        </is>
      </c>
    </row>
    <row r="215">
      <c r="A215" s="9" t="inlineStr">
        <is>
          <t>A2-014</t>
        </is>
      </c>
      <c r="B215" s="9" t="inlineStr">
        <is>
          <t>Enterprise: new signups per marketing (T16M)</t>
        </is>
      </c>
      <c r="C215" s="20" t="inlineStr">
        <is>
          <t>82</t>
        </is>
      </c>
      <c r="D215" s="9" t="inlineStr">
        <is>
          <t>signups</t>
        </is>
      </c>
      <c r="E215" s="9" t="inlineStr">
        <is>
          <t>marketing_spend.csv</t>
        </is>
      </c>
    </row>
    <row r="216">
      <c r="A216" s="9" t="inlineStr">
        <is>
          <t>A2-015</t>
        </is>
      </c>
      <c r="B216" s="9" t="inlineStr">
        <is>
          <t>Enterprise: new paying customers (T16M, D-06 base)</t>
        </is>
      </c>
      <c r="C216" s="20" t="inlineStr">
        <is>
          <t>109</t>
        </is>
      </c>
      <c r="D216" s="9" t="inlineStr">
        <is>
          <t>customers</t>
        </is>
      </c>
      <c r="E216" s="9" t="inlineStr">
        <is>
          <t>users.csv / mart_a2_01</t>
        </is>
      </c>
    </row>
    <row r="217">
      <c r="A217" s="9" t="inlineStr">
        <is>
          <t>A2-016</t>
        </is>
      </c>
      <c r="B217" s="9" t="inlineStr">
        <is>
          <t>Enterprise: cost per signup (T16M)</t>
        </is>
      </c>
      <c r="C217" s="20" t="inlineStr">
        <is>
          <t>5868.73</t>
        </is>
      </c>
      <c r="D217" s="9" t="inlineStr">
        <is>
          <t>USD/signup</t>
        </is>
      </c>
      <c r="E217" s="9" t="inlineStr">
        <is>
          <t>mart_a2_03</t>
        </is>
      </c>
    </row>
    <row r="218">
      <c r="A218" s="9" t="inlineStr">
        <is>
          <t>A2-017</t>
        </is>
      </c>
      <c r="B218" s="9" t="inlineStr">
        <is>
          <t>Enterprise: signup-&gt;paid conversion (T16M)</t>
        </is>
      </c>
      <c r="C218" s="20" t="inlineStr">
        <is>
          <t>1.3293</t>
        </is>
      </c>
      <c r="D218" s="9" t="inlineStr">
        <is>
          <t>ratio</t>
        </is>
      </c>
      <c r="E218" s="9" t="inlineStr">
        <is>
          <t>mart_a2_03</t>
        </is>
      </c>
      <c r="F218" s="9" t="inlineStr">
        <is>
          <t>Enterprise &gt; 100%: users.csv (109) &gt; marketing signups (82) -- D-11 caveat</t>
        </is>
      </c>
    </row>
    <row r="219">
      <c r="A219" s="9" t="inlineStr">
        <is>
          <t>A2-018</t>
        </is>
      </c>
      <c r="B219" s="9" t="inlineStr">
        <is>
          <t>B2C: marketing spend (T16M)</t>
        </is>
      </c>
      <c r="C219" s="20" t="inlineStr">
        <is>
          <t>789794.31</t>
        </is>
      </c>
      <c r="D219" s="9" t="inlineStr">
        <is>
          <t>USD</t>
        </is>
      </c>
      <c r="E219" s="9" t="inlineStr">
        <is>
          <t>mart_a2_02/03</t>
        </is>
      </c>
    </row>
    <row r="220">
      <c r="A220" s="9" t="inlineStr">
        <is>
          <t>A2-019</t>
        </is>
      </c>
      <c r="B220" s="9" t="inlineStr">
        <is>
          <t>B2C: new signups per marketing (T16M)</t>
        </is>
      </c>
      <c r="C220" s="20" t="inlineStr">
        <is>
          <t>21573</t>
        </is>
      </c>
      <c r="D220" s="9" t="inlineStr">
        <is>
          <t>signups</t>
        </is>
      </c>
      <c r="E220" s="9" t="inlineStr">
        <is>
          <t>marketing_spend.csv</t>
        </is>
      </c>
    </row>
    <row r="221">
      <c r="A221" s="9" t="inlineStr">
        <is>
          <t>A2-020</t>
        </is>
      </c>
      <c r="B221" s="9" t="inlineStr">
        <is>
          <t>B2C: new paying customers (T16M, D-06 base)</t>
        </is>
      </c>
      <c r="C221" s="20" t="inlineStr">
        <is>
          <t>2225</t>
        </is>
      </c>
      <c r="D221" s="9" t="inlineStr">
        <is>
          <t>customers</t>
        </is>
      </c>
      <c r="E221" s="9" t="inlineStr">
        <is>
          <t>users.csv / mart_a2_01</t>
        </is>
      </c>
    </row>
    <row r="222">
      <c r="A222" s="9" t="inlineStr">
        <is>
          <t>A2-021</t>
        </is>
      </c>
      <c r="B222" s="9" t="inlineStr">
        <is>
          <t>B2C: cost per signup (T16M)</t>
        </is>
      </c>
      <c r="C222" s="20" t="inlineStr">
        <is>
          <t>36.61</t>
        </is>
      </c>
      <c r="D222" s="9" t="inlineStr">
        <is>
          <t>USD/signup</t>
        </is>
      </c>
      <c r="E222" s="9" t="inlineStr">
        <is>
          <t>mart_a2_03</t>
        </is>
      </c>
    </row>
    <row r="223">
      <c r="A223" s="9" t="inlineStr">
        <is>
          <t>A2-022</t>
        </is>
      </c>
      <c r="B223" s="9" t="inlineStr">
        <is>
          <t>B2C: signup-&gt;paid conversion (T16M)</t>
        </is>
      </c>
      <c r="C223" s="20" t="inlineStr">
        <is>
          <t>0.1031</t>
        </is>
      </c>
      <c r="D223" s="9" t="inlineStr">
        <is>
          <t>ratio</t>
        </is>
      </c>
      <c r="E223" s="9" t="inlineStr">
        <is>
          <t>mart_a2_03</t>
        </is>
      </c>
      <c r="F223" s="9" t="inlineStr">
        <is>
          <t>Enterprise &gt; 100%: users.csv (109) &gt; marketing signups (82) -- D-11 caveat</t>
        </is>
      </c>
    </row>
    <row r="224">
      <c r="A224" s="9" t="inlineStr">
        <is>
          <t>A2-023</t>
        </is>
      </c>
      <c r="B224" s="9" t="inlineStr">
        <is>
          <t>SMB: marketing spend (T16M)</t>
        </is>
      </c>
      <c r="C224" s="20" t="inlineStr">
        <is>
          <t>253809.03</t>
        </is>
      </c>
      <c r="D224" s="9" t="inlineStr">
        <is>
          <t>USD</t>
        </is>
      </c>
      <c r="E224" s="9" t="inlineStr">
        <is>
          <t>mart_a2_02/03</t>
        </is>
      </c>
    </row>
    <row r="225">
      <c r="A225" s="9" t="inlineStr">
        <is>
          <t>A2-024</t>
        </is>
      </c>
      <c r="B225" s="9" t="inlineStr">
        <is>
          <t>SMB: new signups per marketing (T16M)</t>
        </is>
      </c>
      <c r="C225" s="20" t="inlineStr">
        <is>
          <t>695</t>
        </is>
      </c>
      <c r="D225" s="9" t="inlineStr">
        <is>
          <t>signups</t>
        </is>
      </c>
      <c r="E225" s="9" t="inlineStr">
        <is>
          <t>marketing_spend.csv</t>
        </is>
      </c>
    </row>
    <row r="226">
      <c r="A226" s="9" t="inlineStr">
        <is>
          <t>A2-025</t>
        </is>
      </c>
      <c r="B226" s="9" t="inlineStr">
        <is>
          <t>SMB: new paying customers (T16M, D-06 base)</t>
        </is>
      </c>
      <c r="C226" s="20" t="inlineStr">
        <is>
          <t>361</t>
        </is>
      </c>
      <c r="D226" s="9" t="inlineStr">
        <is>
          <t>customers</t>
        </is>
      </c>
      <c r="E226" s="9" t="inlineStr">
        <is>
          <t>users.csv / mart_a2_01</t>
        </is>
      </c>
    </row>
    <row r="227">
      <c r="A227" s="9" t="inlineStr">
        <is>
          <t>A2-026</t>
        </is>
      </c>
      <c r="B227" s="9" t="inlineStr">
        <is>
          <t>SMB: cost per signup (T16M)</t>
        </is>
      </c>
      <c r="C227" s="20" t="inlineStr">
        <is>
          <t>365.19</t>
        </is>
      </c>
      <c r="D227" s="9" t="inlineStr">
        <is>
          <t>USD/signup</t>
        </is>
      </c>
      <c r="E227" s="9" t="inlineStr">
        <is>
          <t>mart_a2_03</t>
        </is>
      </c>
    </row>
    <row r="228">
      <c r="A228" s="9" t="inlineStr">
        <is>
          <t>A2-027</t>
        </is>
      </c>
      <c r="B228" s="9" t="inlineStr">
        <is>
          <t>SMB: signup-&gt;paid conversion (T16M)</t>
        </is>
      </c>
      <c r="C228" s="20" t="inlineStr">
        <is>
          <t>0.5194</t>
        </is>
      </c>
      <c r="D228" s="9" t="inlineStr">
        <is>
          <t>ratio</t>
        </is>
      </c>
      <c r="E228" s="9" t="inlineStr">
        <is>
          <t>mart_a2_03</t>
        </is>
      </c>
      <c r="F228" s="9" t="inlineStr">
        <is>
          <t>Enterprise &gt; 100%: users.csv (109) &gt; marketing signups (82) -- D-11 caveat</t>
        </is>
      </c>
    </row>
    <row r="229">
      <c r="A229" s="9" t="inlineStr">
        <is>
          <t>A2-028</t>
        </is>
      </c>
      <c r="B229" s="9" t="inlineStr">
        <is>
          <t>B2C/Organic: cost per signup (T16M)</t>
        </is>
      </c>
      <c r="C229" s="20" t="inlineStr">
        <is>
          <t>14.47</t>
        </is>
      </c>
      <c r="D229" s="9" t="inlineStr">
        <is>
          <t>USD/signup</t>
        </is>
      </c>
      <c r="E229" s="9" t="inlineStr">
        <is>
          <t>mart_a2_04</t>
        </is>
      </c>
    </row>
    <row r="230">
      <c r="A230" s="9" t="inlineStr">
        <is>
          <t>A2-029</t>
        </is>
      </c>
      <c r="B230" s="9" t="inlineStr">
        <is>
          <t>B2C/Content: cost per signup (T16M)</t>
        </is>
      </c>
      <c r="C230" s="20" t="inlineStr">
        <is>
          <t>28.9</t>
        </is>
      </c>
      <c r="D230" s="9" t="inlineStr">
        <is>
          <t>USD/signup</t>
        </is>
      </c>
      <c r="E230" s="9" t="inlineStr">
        <is>
          <t>mart_a2_04</t>
        </is>
      </c>
    </row>
    <row r="231">
      <c r="A231" s="9" t="inlineStr">
        <is>
          <t>A2-030</t>
        </is>
      </c>
      <c r="B231" s="9" t="inlineStr">
        <is>
          <t>B2C/Paid Search: cost per signup (T16M)</t>
        </is>
      </c>
      <c r="C231" s="20" t="inlineStr">
        <is>
          <t>44.64</t>
        </is>
      </c>
      <c r="D231" s="9" t="inlineStr">
        <is>
          <t>USD/signup</t>
        </is>
      </c>
      <c r="E231" s="9" t="inlineStr">
        <is>
          <t>mart_a2_04</t>
        </is>
      </c>
    </row>
    <row r="232">
      <c r="A232" s="9" t="inlineStr">
        <is>
          <t>A2-031</t>
        </is>
      </c>
      <c r="B232" s="9" t="inlineStr">
        <is>
          <t>B2C/Paid Social: cost per signup (T16M)</t>
        </is>
      </c>
      <c r="C232" s="20" t="inlineStr">
        <is>
          <t>53.15</t>
        </is>
      </c>
      <c r="D232" s="9" t="inlineStr">
        <is>
          <t>USD/signup</t>
        </is>
      </c>
      <c r="E232" s="9" t="inlineStr">
        <is>
          <t>mart_a2_04</t>
        </is>
      </c>
    </row>
    <row r="233">
      <c r="A233" s="9" t="inlineStr">
        <is>
          <t>A2-032</t>
        </is>
      </c>
      <c r="B233" s="9" t="inlineStr">
        <is>
          <t>SMB/Content: cost per signup (T16M)</t>
        </is>
      </c>
      <c r="C233" s="20" t="inlineStr">
        <is>
          <t>271.19</t>
        </is>
      </c>
      <c r="D233" s="9" t="inlineStr">
        <is>
          <t>USD/signup</t>
        </is>
      </c>
      <c r="E233" s="9" t="inlineStr">
        <is>
          <t>mart_a2_04</t>
        </is>
      </c>
    </row>
    <row r="234">
      <c r="A234" s="9" t="inlineStr">
        <is>
          <t>A2-033</t>
        </is>
      </c>
      <c r="B234" s="9" t="inlineStr">
        <is>
          <t>SMB/Paid Search: cost per signup (T16M)</t>
        </is>
      </c>
      <c r="C234" s="20" t="inlineStr">
        <is>
          <t>384.47</t>
        </is>
      </c>
      <c r="D234" s="9" t="inlineStr">
        <is>
          <t>USD/signup</t>
        </is>
      </c>
      <c r="E234" s="9" t="inlineStr">
        <is>
          <t>mart_a2_04</t>
        </is>
      </c>
    </row>
    <row r="235">
      <c r="A235" s="9" t="inlineStr">
        <is>
          <t>A2-034</t>
        </is>
      </c>
      <c r="B235" s="9" t="inlineStr">
        <is>
          <t>SMB/Paid Social: cost per signup (T16M)</t>
        </is>
      </c>
      <c r="C235" s="20" t="inlineStr">
        <is>
          <t>428.74</t>
        </is>
      </c>
      <c r="D235" s="9" t="inlineStr">
        <is>
          <t>USD/signup</t>
        </is>
      </c>
      <c r="E235" s="9" t="inlineStr">
        <is>
          <t>mart_a2_04</t>
        </is>
      </c>
    </row>
    <row r="236">
      <c r="A236" s="9" t="inlineStr">
        <is>
          <t>A2-035</t>
        </is>
      </c>
      <c r="B236" s="9" t="inlineStr">
        <is>
          <t>Acquisition share of G&amp;A (T6M)</t>
        </is>
      </c>
      <c r="C236" s="20" t="inlineStr">
        <is>
          <t>0.51</t>
        </is>
      </c>
      <c r="D236" s="9" t="inlineStr">
        <is>
          <t>ratio</t>
        </is>
      </c>
      <c r="E236" s="9" t="inlineStr">
        <is>
          <t>mart_a2_05</t>
        </is>
      </c>
    </row>
    <row r="237">
      <c r="A237" s="9" t="inlineStr">
        <is>
          <t>A2-036</t>
        </is>
      </c>
      <c r="B237" s="9" t="inlineStr">
        <is>
          <t>Total G&amp;A pool allocated to acquisition (T6M)</t>
        </is>
      </c>
      <c r="C237" s="20" t="inlineStr">
        <is>
          <t>95423.0</t>
        </is>
      </c>
      <c r="D237" s="9" t="inlineStr">
        <is>
          <t>USD</t>
        </is>
      </c>
      <c r="E237" s="9" t="inlineStr">
        <is>
          <t>mart_a2_05</t>
        </is>
      </c>
    </row>
    <row r="238">
      <c r="A238" s="9" t="inlineStr">
        <is>
          <t>A2-037</t>
        </is>
      </c>
      <c r="B238" s="9" t="inlineStr">
        <is>
          <t>B2C: allocated G&amp;A, base (T6M)</t>
        </is>
      </c>
      <c r="C238" s="20" t="inlineStr">
        <is>
          <t>49337.69</t>
        </is>
      </c>
      <c r="D238" s="9" t="inlineStr">
        <is>
          <t>USD</t>
        </is>
      </c>
      <c r="E238" s="9" t="inlineStr">
        <is>
          <t>mart_a2_05</t>
        </is>
      </c>
    </row>
    <row r="239">
      <c r="A239" s="9" t="inlineStr">
        <is>
          <t>A2-038</t>
        </is>
      </c>
      <c r="B239" s="9" t="inlineStr">
        <is>
          <t>SMB: allocated G&amp;A, base (T6M)</t>
        </is>
      </c>
      <c r="C239" s="20" t="inlineStr">
        <is>
          <t>16617.36</t>
        </is>
      </c>
      <c r="D239" s="9" t="inlineStr">
        <is>
          <t>USD</t>
        </is>
      </c>
      <c r="E239" s="9" t="inlineStr">
        <is>
          <t>mart_a2_05</t>
        </is>
      </c>
    </row>
    <row r="240">
      <c r="A240" s="9" t="inlineStr">
        <is>
          <t>A2-039</t>
        </is>
      </c>
      <c r="B240" s="9" t="inlineStr">
        <is>
          <t>Enterprise: allocated G&amp;A, base (T6M)</t>
        </is>
      </c>
      <c r="C240" s="20" t="inlineStr">
        <is>
          <t>29467.95</t>
        </is>
      </c>
      <c r="D240" s="9" t="inlineStr">
        <is>
          <t>USD</t>
        </is>
      </c>
      <c r="E240" s="9" t="inlineStr">
        <is>
          <t>mart_a2_05</t>
        </is>
      </c>
    </row>
    <row r="241">
      <c r="A241" s="9" t="inlineStr">
        <is>
          <t>A2-040</t>
        </is>
      </c>
      <c r="B241" s="9" t="inlineStr">
        <is>
          <t>B2C: ARPA (T6M avg)</t>
        </is>
      </c>
      <c r="C241" s="20" t="inlineStr">
        <is>
          <t>42.21</t>
        </is>
      </c>
      <c r="D241" s="9" t="inlineStr">
        <is>
          <t>USD/month</t>
        </is>
      </c>
      <c r="E241" s="9" t="inlineStr">
        <is>
          <t>mart_a2_09</t>
        </is>
      </c>
    </row>
    <row r="242">
      <c r="A242" s="9" t="inlineStr">
        <is>
          <t>A2-041</t>
        </is>
      </c>
      <c r="B242" s="9" t="inlineStr">
        <is>
          <t>B2C: GM% base, all-by-MRR (T6M avg)</t>
        </is>
      </c>
      <c r="C242" s="20" t="inlineStr">
        <is>
          <t>0.2931</t>
        </is>
      </c>
      <c r="D242" s="9" t="inlineStr">
        <is>
          <t>ratio</t>
        </is>
      </c>
      <c r="E242" s="9" t="inlineStr">
        <is>
          <t>mart_a2_08</t>
        </is>
      </c>
    </row>
    <row r="243">
      <c r="A243" s="9" t="inlineStr">
        <is>
          <t>A2-042</t>
        </is>
      </c>
      <c r="B243" s="9" t="inlineStr">
        <is>
          <t>B2C: GM% downside sensitivity, customer-weighted (T6M avg)</t>
        </is>
      </c>
      <c r="C243" s="20" t="inlineStr">
        <is>
          <t>-0.3701</t>
        </is>
      </c>
      <c r="D243" s="9" t="inlineStr">
        <is>
          <t>ratio</t>
        </is>
      </c>
      <c r="E243" s="9" t="inlineStr">
        <is>
          <t>mart_a2_08</t>
        </is>
      </c>
    </row>
    <row r="244">
      <c r="A244" s="9" t="inlineStr">
        <is>
          <t>A2-043</t>
        </is>
      </c>
      <c r="B244" s="9" t="inlineStr">
        <is>
          <t>B2C: CAC fully loaded (T6M)</t>
        </is>
      </c>
      <c r="C244" s="20" t="inlineStr">
        <is>
          <t>392.22</t>
        </is>
      </c>
      <c r="D244" s="9" t="inlineStr">
        <is>
          <t>USD</t>
        </is>
      </c>
      <c r="E244" s="9" t="inlineStr">
        <is>
          <t>mart_a2_06</t>
        </is>
      </c>
    </row>
    <row r="245">
      <c r="A245" s="9" t="inlineStr">
        <is>
          <t>A2-044</t>
        </is>
      </c>
      <c r="B245" s="9" t="inlineStr">
        <is>
          <t>B2C: CAC fully loaded (T16M)</t>
        </is>
      </c>
      <c r="C245" s="20" t="inlineStr">
        <is>
          <t>405.24</t>
        </is>
      </c>
      <c r="D245" s="9" t="inlineStr">
        <is>
          <t>USD</t>
        </is>
      </c>
      <c r="E245" s="9" t="inlineStr">
        <is>
          <t>mart_a2_06</t>
        </is>
      </c>
    </row>
    <row r="246">
      <c r="A246" s="9" t="inlineStr">
        <is>
          <t>A2-045</t>
        </is>
      </c>
      <c r="B246" s="9" t="inlineStr">
        <is>
          <t>B2C: reliable survival curve horizon</t>
        </is>
      </c>
      <c r="C246" s="20" t="inlineStr">
        <is>
          <t>15</t>
        </is>
      </c>
      <c r="D246" s="9" t="inlineStr">
        <is>
          <t>months</t>
        </is>
      </c>
      <c r="E246" s="9" t="inlineStr">
        <is>
          <t>mart_a2_10</t>
        </is>
      </c>
      <c r="F246" s="9" t="inlineStr">
        <is>
          <t>exposed_n &gt;= 20</t>
        </is>
      </c>
    </row>
    <row r="247">
      <c r="A247" s="9" t="inlineStr">
        <is>
          <t>A2-046</t>
        </is>
      </c>
      <c r="B247" s="9" t="inlineStr">
        <is>
          <t>B2C: lifetime, logo curve (60mo cap)</t>
        </is>
      </c>
      <c r="C247" s="20" t="inlineStr">
        <is>
          <t>19.56</t>
        </is>
      </c>
      <c r="D247" s="9" t="inlineStr">
        <is>
          <t>months</t>
        </is>
      </c>
      <c r="E247" s="9" t="inlineStr">
        <is>
          <t>mart_a2_11</t>
        </is>
      </c>
    </row>
    <row r="248">
      <c r="A248" s="9" t="inlineStr">
        <is>
          <t>A2-047</t>
        </is>
      </c>
      <c r="B248" s="9" t="inlineStr">
        <is>
          <t>B2C: lifetime, dollar curve (60mo cap, base)</t>
        </is>
      </c>
      <c r="C248" s="20" t="inlineStr">
        <is>
          <t>15.92</t>
        </is>
      </c>
      <c r="D248" s="9" t="inlineStr">
        <is>
          <t>months</t>
        </is>
      </c>
      <c r="E248" s="9" t="inlineStr">
        <is>
          <t>mart_a2_11</t>
        </is>
      </c>
    </row>
    <row r="249">
      <c r="A249" s="9" t="inlineStr">
        <is>
          <t>A2-048</t>
        </is>
      </c>
      <c r="B249" s="9" t="inlineStr">
        <is>
          <t>B2C: lifetime, dollar curve (36mo cap)</t>
        </is>
      </c>
      <c r="C249" s="20" t="inlineStr">
        <is>
          <t>14.16</t>
        </is>
      </c>
      <c r="D249" s="9" t="inlineStr">
        <is>
          <t>months</t>
        </is>
      </c>
      <c r="E249" s="9" t="inlineStr">
        <is>
          <t>mart_a2_11</t>
        </is>
      </c>
    </row>
    <row r="250">
      <c r="A250" s="9" t="inlineStr">
        <is>
          <t>A2-049</t>
        </is>
      </c>
      <c r="B250" s="9" t="inlineStr">
        <is>
          <t>B2C: lifetime, dollar curve (uncapped, reference)</t>
        </is>
      </c>
      <c r="C250" s="20" t="inlineStr">
        <is>
          <t>16.66</t>
        </is>
      </c>
      <c r="D250" s="9" t="inlineStr">
        <is>
          <t>months</t>
        </is>
      </c>
      <c r="E250" s="9" t="inlineStr">
        <is>
          <t>mart_a2_11</t>
        </is>
      </c>
    </row>
    <row r="251">
      <c r="A251" s="9" t="inlineStr">
        <is>
          <t>A2-050</t>
        </is>
      </c>
      <c r="B251" s="9" t="inlineStr">
        <is>
          <t>B2C: lifetime cross-check, 1/logo churn</t>
        </is>
      </c>
      <c r="C251" s="20" t="inlineStr">
        <is>
          <t>28.44</t>
        </is>
      </c>
      <c r="D251" s="9" t="inlineStr">
        <is>
          <t>months</t>
        </is>
      </c>
      <c r="E251" s="9" t="inlineStr">
        <is>
          <t>mart_a2_11</t>
        </is>
      </c>
    </row>
    <row r="252">
      <c r="A252" s="9" t="inlineStr">
        <is>
          <t>A2-051</t>
        </is>
      </c>
      <c r="B252" s="9" t="inlineStr">
        <is>
          <t>B2C: LTV base (60mo cap)</t>
        </is>
      </c>
      <c r="C252" s="20" t="inlineStr">
        <is>
          <t>196.94</t>
        </is>
      </c>
      <c r="D252" s="9" t="inlineStr">
        <is>
          <t>USD</t>
        </is>
      </c>
      <c r="E252" s="9" t="inlineStr">
        <is>
          <t>mart_a2_12</t>
        </is>
      </c>
    </row>
    <row r="253">
      <c r="A253" s="9" t="inlineStr">
        <is>
          <t>A2-052</t>
        </is>
      </c>
      <c r="B253" s="9" t="inlineStr">
        <is>
          <t>B2C: LTV:CAC (T6M)</t>
        </is>
      </c>
      <c r="C253" s="20" t="inlineStr">
        <is>
          <t>0.5</t>
        </is>
      </c>
      <c r="D253" s="9" t="inlineStr">
        <is>
          <t>ratio</t>
        </is>
      </c>
      <c r="E253" s="9" t="inlineStr">
        <is>
          <t>mart_a2_12</t>
        </is>
      </c>
      <c r="F253" s="9" t="inlineStr">
        <is>
          <t>benchmark &gt;= 3.0x</t>
        </is>
      </c>
    </row>
    <row r="254">
      <c r="A254" s="9" t="inlineStr">
        <is>
          <t>A2-053</t>
        </is>
      </c>
      <c r="B254" s="9" t="inlineStr">
        <is>
          <t>B2C: CAC payback (T6M)</t>
        </is>
      </c>
      <c r="C254" s="20" t="inlineStr">
        <is>
          <t>31.7</t>
        </is>
      </c>
      <c r="D254" s="9" t="inlineStr">
        <is>
          <t>months</t>
        </is>
      </c>
      <c r="E254" s="9" t="inlineStr">
        <is>
          <t>mart_a2_12</t>
        </is>
      </c>
      <c r="F254" s="9" t="inlineStr">
        <is>
          <t>benchmark &lt;= 12.0</t>
        </is>
      </c>
    </row>
    <row r="255">
      <c r="A255" s="9" t="inlineStr">
        <is>
          <t>A2-054</t>
        </is>
      </c>
      <c r="B255" s="9" t="inlineStr">
        <is>
          <t>B2C: retention-adjusted payback</t>
        </is>
      </c>
      <c r="D255" s="9" t="inlineStr">
        <is>
          <t>months</t>
        </is>
      </c>
      <c r="E255" s="9" t="inlineStr">
        <is>
          <t>mart_a2_12</t>
        </is>
      </c>
      <c r="F255" s="9" t="inlineStr">
        <is>
          <t>never (not reached within observed 15-month horizon)</t>
        </is>
      </c>
    </row>
    <row r="256">
      <c r="A256" s="9" t="inlineStr">
        <is>
          <t>A2-055</t>
        </is>
      </c>
      <c r="B256" s="9" t="inlineStr">
        <is>
          <t>SMB: ARPA (T6M avg)</t>
        </is>
      </c>
      <c r="C256" s="20" t="inlineStr">
        <is>
          <t>177.94</t>
        </is>
      </c>
      <c r="D256" s="9" t="inlineStr">
        <is>
          <t>USD/month</t>
        </is>
      </c>
      <c r="E256" s="9" t="inlineStr">
        <is>
          <t>mart_a2_09</t>
        </is>
      </c>
    </row>
    <row r="257">
      <c r="A257" s="9" t="inlineStr">
        <is>
          <t>A2-056</t>
        </is>
      </c>
      <c r="B257" s="9" t="inlineStr">
        <is>
          <t>SMB: GM% base, all-by-MRR (T6M avg)</t>
        </is>
      </c>
      <c r="C257" s="20" t="inlineStr">
        <is>
          <t>0.2931</t>
        </is>
      </c>
      <c r="D257" s="9" t="inlineStr">
        <is>
          <t>ratio</t>
        </is>
      </c>
      <c r="E257" s="9" t="inlineStr">
        <is>
          <t>mart_a2_08</t>
        </is>
      </c>
    </row>
    <row r="258">
      <c r="A258" s="9" t="inlineStr">
        <is>
          <t>A2-057</t>
        </is>
      </c>
      <c r="B258" s="9" t="inlineStr">
        <is>
          <t>SMB: GM% downside sensitivity, customer-weighted (T6M avg)</t>
        </is>
      </c>
      <c r="C258" s="20" t="inlineStr">
        <is>
          <t>0.4907</t>
        </is>
      </c>
      <c r="D258" s="9" t="inlineStr">
        <is>
          <t>ratio</t>
        </is>
      </c>
      <c r="E258" s="9" t="inlineStr">
        <is>
          <t>mart_a2_08</t>
        </is>
      </c>
    </row>
    <row r="259">
      <c r="A259" s="9" t="inlineStr">
        <is>
          <t>A2-058</t>
        </is>
      </c>
      <c r="B259" s="9" t="inlineStr">
        <is>
          <t>SMB: CAC fully loaded (T6M)</t>
        </is>
      </c>
      <c r="C259" s="20" t="inlineStr">
        <is>
          <t>759.41</t>
        </is>
      </c>
      <c r="D259" s="9" t="inlineStr">
        <is>
          <t>USD</t>
        </is>
      </c>
      <c r="E259" s="9" t="inlineStr">
        <is>
          <t>mart_a2_06</t>
        </is>
      </c>
    </row>
    <row r="260">
      <c r="A260" s="9" t="inlineStr">
        <is>
          <t>A2-059</t>
        </is>
      </c>
      <c r="B260" s="9" t="inlineStr">
        <is>
          <t>SMB: CAC fully loaded (T16M)</t>
        </is>
      </c>
      <c r="C260" s="20" t="inlineStr">
        <is>
          <t>802.66</t>
        </is>
      </c>
      <c r="D260" s="9" t="inlineStr">
        <is>
          <t>USD</t>
        </is>
      </c>
      <c r="E260" s="9" t="inlineStr">
        <is>
          <t>mart_a2_06</t>
        </is>
      </c>
    </row>
    <row r="261">
      <c r="A261" s="9" t="inlineStr">
        <is>
          <t>A2-060</t>
        </is>
      </c>
      <c r="B261" s="9" t="inlineStr">
        <is>
          <t>SMB: reliable survival curve horizon</t>
        </is>
      </c>
      <c r="C261" s="20" t="inlineStr">
        <is>
          <t>14</t>
        </is>
      </c>
      <c r="D261" s="9" t="inlineStr">
        <is>
          <t>months</t>
        </is>
      </c>
      <c r="E261" s="9" t="inlineStr">
        <is>
          <t>mart_a2_10</t>
        </is>
      </c>
      <c r="F261" s="9" t="inlineStr">
        <is>
          <t>exposed_n &gt;= 20</t>
        </is>
      </c>
    </row>
    <row r="262">
      <c r="A262" s="9" t="inlineStr">
        <is>
          <t>A2-061</t>
        </is>
      </c>
      <c r="B262" s="9" t="inlineStr">
        <is>
          <t>SMB: lifetime, logo curve (60mo cap)</t>
        </is>
      </c>
      <c r="C262" s="20" t="inlineStr">
        <is>
          <t>41.27</t>
        </is>
      </c>
      <c r="D262" s="9" t="inlineStr">
        <is>
          <t>months</t>
        </is>
      </c>
      <c r="E262" s="9" t="inlineStr">
        <is>
          <t>mart_a2_11</t>
        </is>
      </c>
    </row>
    <row r="263">
      <c r="A263" s="9" t="inlineStr">
        <is>
          <t>A2-062</t>
        </is>
      </c>
      <c r="B263" s="9" t="inlineStr">
        <is>
          <t>SMB: lifetime, dollar curve (60mo cap, base)</t>
        </is>
      </c>
      <c r="C263" s="20" t="inlineStr">
        <is>
          <t>42.48</t>
        </is>
      </c>
      <c r="D263" s="9" t="inlineStr">
        <is>
          <t>months</t>
        </is>
      </c>
      <c r="E263" s="9" t="inlineStr">
        <is>
          <t>mart_a2_11</t>
        </is>
      </c>
    </row>
    <row r="264">
      <c r="A264" s="9" t="inlineStr">
        <is>
          <t>A2-063</t>
        </is>
      </c>
      <c r="B264" s="9" t="inlineStr">
        <is>
          <t>SMB: lifetime, dollar curve (36mo cap)</t>
        </is>
      </c>
      <c r="C264" s="20" t="inlineStr">
        <is>
          <t>28.85</t>
        </is>
      </c>
      <c r="D264" s="9" t="inlineStr">
        <is>
          <t>months</t>
        </is>
      </c>
      <c r="E264" s="9" t="inlineStr">
        <is>
          <t>mart_a2_11</t>
        </is>
      </c>
    </row>
    <row r="265">
      <c r="A265" s="9" t="inlineStr">
        <is>
          <t>A2-064</t>
        </is>
      </c>
      <c r="B265" s="9" t="inlineStr">
        <is>
          <t>SMB: lifetime, dollar curve (uncapped, reference)</t>
        </is>
      </c>
      <c r="C265" s="20" t="inlineStr">
        <is>
          <t>82.15</t>
        </is>
      </c>
      <c r="D265" s="9" t="inlineStr">
        <is>
          <t>months</t>
        </is>
      </c>
      <c r="E265" s="9" t="inlineStr">
        <is>
          <t>mart_a2_11</t>
        </is>
      </c>
    </row>
    <row r="266">
      <c r="A266" s="9" t="inlineStr">
        <is>
          <t>A2-065</t>
        </is>
      </c>
      <c r="B266" s="9" t="inlineStr">
        <is>
          <t>SMB: lifetime cross-check, 1/logo churn</t>
        </is>
      </c>
      <c r="C266" s="20" t="inlineStr">
        <is>
          <t>81.79</t>
        </is>
      </c>
      <c r="D266" s="9" t="inlineStr">
        <is>
          <t>months</t>
        </is>
      </c>
      <c r="E266" s="9" t="inlineStr">
        <is>
          <t>mart_a2_11</t>
        </is>
      </c>
    </row>
    <row r="267">
      <c r="A267" s="9" t="inlineStr">
        <is>
          <t>A2-066</t>
        </is>
      </c>
      <c r="B267" s="9" t="inlineStr">
        <is>
          <t>SMB: LTV base (60mo cap)</t>
        </is>
      </c>
      <c r="C267" s="20" t="inlineStr">
        <is>
          <t>2215.26</t>
        </is>
      </c>
      <c r="D267" s="9" t="inlineStr">
        <is>
          <t>USD</t>
        </is>
      </c>
      <c r="E267" s="9" t="inlineStr">
        <is>
          <t>mart_a2_12</t>
        </is>
      </c>
    </row>
    <row r="268">
      <c r="A268" s="9" t="inlineStr">
        <is>
          <t>A2-067</t>
        </is>
      </c>
      <c r="B268" s="9" t="inlineStr">
        <is>
          <t>SMB: LTV:CAC (T6M)</t>
        </is>
      </c>
      <c r="C268" s="20" t="inlineStr">
        <is>
          <t>2.92</t>
        </is>
      </c>
      <c r="D268" s="9" t="inlineStr">
        <is>
          <t>ratio</t>
        </is>
      </c>
      <c r="E268" s="9" t="inlineStr">
        <is>
          <t>mart_a2_12</t>
        </is>
      </c>
      <c r="F268" s="9" t="inlineStr">
        <is>
          <t>benchmark &gt;= 3.0x</t>
        </is>
      </c>
    </row>
    <row r="269">
      <c r="A269" s="9" t="inlineStr">
        <is>
          <t>A2-068</t>
        </is>
      </c>
      <c r="B269" s="9" t="inlineStr">
        <is>
          <t>SMB: CAC payback (T6M)</t>
        </is>
      </c>
      <c r="C269" s="20" t="inlineStr">
        <is>
          <t>14.6</t>
        </is>
      </c>
      <c r="D269" s="9" t="inlineStr">
        <is>
          <t>months</t>
        </is>
      </c>
      <c r="E269" s="9" t="inlineStr">
        <is>
          <t>mart_a2_12</t>
        </is>
      </c>
      <c r="F269" s="9" t="inlineStr">
        <is>
          <t>benchmark &lt;= 12.0</t>
        </is>
      </c>
    </row>
    <row r="270">
      <c r="A270" s="9" t="inlineStr">
        <is>
          <t>A2-069</t>
        </is>
      </c>
      <c r="B270" s="9" t="inlineStr">
        <is>
          <t>SMB: retention-adjusted payback</t>
        </is>
      </c>
      <c r="D270" s="9" t="inlineStr">
        <is>
          <t>months</t>
        </is>
      </c>
      <c r="E270" s="9" t="inlineStr">
        <is>
          <t>mart_a2_12</t>
        </is>
      </c>
      <c r="F270" s="9" t="inlineStr">
        <is>
          <t>never (not reached within observed 14-month horizon)</t>
        </is>
      </c>
    </row>
    <row r="271">
      <c r="A271" s="9" t="inlineStr">
        <is>
          <t>A2-070</t>
        </is>
      </c>
      <c r="B271" s="9" t="inlineStr">
        <is>
          <t>Enterprise: ARPA (T6M avg)</t>
        </is>
      </c>
      <c r="C271" s="20" t="inlineStr">
        <is>
          <t>847.75</t>
        </is>
      </c>
      <c r="D271" s="9" t="inlineStr">
        <is>
          <t>USD/month</t>
        </is>
      </c>
      <c r="E271" s="9" t="inlineStr">
        <is>
          <t>mart_a2_09</t>
        </is>
      </c>
    </row>
    <row r="272">
      <c r="A272" s="9" t="inlineStr">
        <is>
          <t>A2-071</t>
        </is>
      </c>
      <c r="B272" s="9" t="inlineStr">
        <is>
          <t>Enterprise: GM% base, all-by-MRR (T6M avg)</t>
        </is>
      </c>
      <c r="C272" s="20" t="inlineStr">
        <is>
          <t>0.2931</t>
        </is>
      </c>
      <c r="D272" s="9" t="inlineStr">
        <is>
          <t>ratio</t>
        </is>
      </c>
      <c r="E272" s="9" t="inlineStr">
        <is>
          <t>mart_a2_08</t>
        </is>
      </c>
    </row>
    <row r="273">
      <c r="A273" s="9" t="inlineStr">
        <is>
          <t>A2-072</t>
        </is>
      </c>
      <c r="B273" s="9" t="inlineStr">
        <is>
          <t>Enterprise: GM% downside sensitivity, customer-weighted (T6M avg)</t>
        </is>
      </c>
      <c r="C273" s="20" t="inlineStr">
        <is>
          <t>0.7024</t>
        </is>
      </c>
      <c r="D273" s="9" t="inlineStr">
        <is>
          <t>ratio</t>
        </is>
      </c>
      <c r="E273" s="9" t="inlineStr">
        <is>
          <t>mart_a2_08</t>
        </is>
      </c>
    </row>
    <row r="274">
      <c r="A274" s="9" t="inlineStr">
        <is>
          <t>A2-073</t>
        </is>
      </c>
      <c r="B274" s="9" t="inlineStr">
        <is>
          <t>Enterprise: CAC fully loaded (T6M)</t>
        </is>
      </c>
      <c r="C274" s="20" t="inlineStr">
        <is>
          <t>4249.0</t>
        </is>
      </c>
      <c r="D274" s="9" t="inlineStr">
        <is>
          <t>USD</t>
        </is>
      </c>
      <c r="E274" s="9" t="inlineStr">
        <is>
          <t>mart_a2_06</t>
        </is>
      </c>
    </row>
    <row r="275">
      <c r="A275" s="9" t="inlineStr">
        <is>
          <t>A2-074</t>
        </is>
      </c>
      <c r="B275" s="9" t="inlineStr">
        <is>
          <t>Enterprise: CAC fully loaded (T16M)</t>
        </is>
      </c>
      <c r="C275" s="20" t="inlineStr">
        <is>
          <t>5040.39</t>
        </is>
      </c>
      <c r="D275" s="9" t="inlineStr">
        <is>
          <t>USD</t>
        </is>
      </c>
      <c r="E275" s="9" t="inlineStr">
        <is>
          <t>mart_a2_06</t>
        </is>
      </c>
    </row>
    <row r="276">
      <c r="A276" s="9" t="inlineStr">
        <is>
          <t>A2-075</t>
        </is>
      </c>
      <c r="B276" s="9" t="inlineStr">
        <is>
          <t>Enterprise: reliable survival curve horizon</t>
        </is>
      </c>
      <c r="C276" s="20" t="inlineStr">
        <is>
          <t>11</t>
        </is>
      </c>
      <c r="D276" s="9" t="inlineStr">
        <is>
          <t>months</t>
        </is>
      </c>
      <c r="E276" s="9" t="inlineStr">
        <is>
          <t>mart_a2_10</t>
        </is>
      </c>
      <c r="F276" s="9" t="inlineStr">
        <is>
          <t>exposed_n &gt;= 20</t>
        </is>
      </c>
    </row>
    <row r="277">
      <c r="A277" s="9" t="inlineStr">
        <is>
          <t>A2-076</t>
        </is>
      </c>
      <c r="B277" s="9" t="inlineStr">
        <is>
          <t>Enterprise: lifetime, logo curve (60mo cap)</t>
        </is>
      </c>
      <c r="C277" s="20" t="inlineStr">
        <is>
          <t>40.45</t>
        </is>
      </c>
      <c r="D277" s="9" t="inlineStr">
        <is>
          <t>months</t>
        </is>
      </c>
      <c r="E277" s="9" t="inlineStr">
        <is>
          <t>mart_a2_11</t>
        </is>
      </c>
    </row>
    <row r="278">
      <c r="A278" s="9" t="inlineStr">
        <is>
          <t>A2-077</t>
        </is>
      </c>
      <c r="B278" s="9" t="inlineStr">
        <is>
          <t>Enterprise: lifetime, dollar curve (60mo cap, base)</t>
        </is>
      </c>
      <c r="C278" s="20" t="inlineStr">
        <is>
          <t>36.94</t>
        </is>
      </c>
      <c r="D278" s="9" t="inlineStr">
        <is>
          <t>months</t>
        </is>
      </c>
      <c r="E278" s="9" t="inlineStr">
        <is>
          <t>mart_a2_11</t>
        </is>
      </c>
    </row>
    <row r="279">
      <c r="A279" s="9" t="inlineStr">
        <is>
          <t>A2-078</t>
        </is>
      </c>
      <c r="B279" s="9" t="inlineStr">
        <is>
          <t>Enterprise: lifetime, dollar curve (36mo cap)</t>
        </is>
      </c>
      <c r="C279" s="20" t="inlineStr">
        <is>
          <t>26.78</t>
        </is>
      </c>
      <c r="D279" s="9" t="inlineStr">
        <is>
          <t>months</t>
        </is>
      </c>
      <c r="E279" s="9" t="inlineStr">
        <is>
          <t>mart_a2_11</t>
        </is>
      </c>
    </row>
    <row r="280">
      <c r="A280" s="9" t="inlineStr">
        <is>
          <t>A2-079</t>
        </is>
      </c>
      <c r="B280" s="9" t="inlineStr">
        <is>
          <t>Enterprise: lifetime, dollar curve (uncapped, reference)</t>
        </is>
      </c>
      <c r="C280" s="20" t="inlineStr">
        <is>
          <t>55.14</t>
        </is>
      </c>
      <c r="D280" s="9" t="inlineStr">
        <is>
          <t>months</t>
        </is>
      </c>
      <c r="E280" s="9" t="inlineStr">
        <is>
          <t>mart_a2_11</t>
        </is>
      </c>
    </row>
    <row r="281">
      <c r="A281" s="9" t="inlineStr">
        <is>
          <t>A2-080</t>
        </is>
      </c>
      <c r="B281" s="9" t="inlineStr">
        <is>
          <t>Enterprise: lifetime cross-check, 1/logo churn</t>
        </is>
      </c>
      <c r="C281" s="20" t="inlineStr">
        <is>
          <t>71.15</t>
        </is>
      </c>
      <c r="D281" s="9" t="inlineStr">
        <is>
          <t>months</t>
        </is>
      </c>
      <c r="E281" s="9" t="inlineStr">
        <is>
          <t>mart_a2_11</t>
        </is>
      </c>
    </row>
    <row r="282">
      <c r="A282" s="9" t="inlineStr">
        <is>
          <t>A2-081</t>
        </is>
      </c>
      <c r="B282" s="9" t="inlineStr">
        <is>
          <t>Enterprise: LTV base (60mo cap)</t>
        </is>
      </c>
      <c r="C282" s="20" t="inlineStr">
        <is>
          <t>9177.64</t>
        </is>
      </c>
      <c r="D282" s="9" t="inlineStr">
        <is>
          <t>USD</t>
        </is>
      </c>
      <c r="E282" s="9" t="inlineStr">
        <is>
          <t>mart_a2_12</t>
        </is>
      </c>
    </row>
    <row r="283">
      <c r="A283" s="9" t="inlineStr">
        <is>
          <t>A2-082</t>
        </is>
      </c>
      <c r="B283" s="9" t="inlineStr">
        <is>
          <t>Enterprise: LTV:CAC (T6M)</t>
        </is>
      </c>
      <c r="C283" s="20" t="inlineStr">
        <is>
          <t>2.16</t>
        </is>
      </c>
      <c r="D283" s="9" t="inlineStr">
        <is>
          <t>ratio</t>
        </is>
      </c>
      <c r="E283" s="9" t="inlineStr">
        <is>
          <t>mart_a2_12</t>
        </is>
      </c>
      <c r="F283" s="9" t="inlineStr">
        <is>
          <t>benchmark &gt;= 3.0x</t>
        </is>
      </c>
    </row>
    <row r="284">
      <c r="A284" s="9" t="inlineStr">
        <is>
          <t>A2-083</t>
        </is>
      </c>
      <c r="B284" s="9" t="inlineStr">
        <is>
          <t>Enterprise: CAC payback (T6M)</t>
        </is>
      </c>
      <c r="C284" s="20" t="inlineStr">
        <is>
          <t>17.1</t>
        </is>
      </c>
      <c r="D284" s="9" t="inlineStr">
        <is>
          <t>months</t>
        </is>
      </c>
      <c r="E284" s="9" t="inlineStr">
        <is>
          <t>mart_a2_12</t>
        </is>
      </c>
      <c r="F284" s="9" t="inlineStr">
        <is>
          <t>benchmark &lt;= 18.0</t>
        </is>
      </c>
    </row>
    <row r="285">
      <c r="A285" s="9" t="inlineStr">
        <is>
          <t>A2-084</t>
        </is>
      </c>
      <c r="B285" s="9" t="inlineStr">
        <is>
          <t>Enterprise: retention-adjusted payback</t>
        </is>
      </c>
      <c r="D285" s="9" t="inlineStr">
        <is>
          <t>months</t>
        </is>
      </c>
      <c r="E285" s="9" t="inlineStr">
        <is>
          <t>mart_a2_12</t>
        </is>
      </c>
      <c r="F285" s="9" t="inlineStr">
        <is>
          <t>never (not reached within observed 11-month horizon)</t>
        </is>
      </c>
    </row>
    <row r="286">
      <c r="A286" s="9" t="inlineStr">
        <is>
          <t>A2-085</t>
        </is>
      </c>
      <c r="B286" s="9" t="inlineStr">
        <is>
          <t>Total: ARPA (T6M avg)</t>
        </is>
      </c>
      <c r="C286" s="20" t="inlineStr">
        <is>
          <t>102.72</t>
        </is>
      </c>
      <c r="D286" s="9" t="inlineStr">
        <is>
          <t>USD/month</t>
        </is>
      </c>
      <c r="E286" s="9" t="inlineStr">
        <is>
          <t>mart_a2_09</t>
        </is>
      </c>
    </row>
    <row r="287">
      <c r="A287" s="9" t="inlineStr">
        <is>
          <t>A2-086</t>
        </is>
      </c>
      <c r="B287" s="9" t="inlineStr">
        <is>
          <t>Total: GM% base, all-by-MRR (T6M avg)</t>
        </is>
      </c>
      <c r="C287" s="20" t="inlineStr">
        <is>
          <t>0.2931</t>
        </is>
      </c>
      <c r="D287" s="9" t="inlineStr">
        <is>
          <t>ratio</t>
        </is>
      </c>
      <c r="E287" s="9" t="inlineStr">
        <is>
          <t>mart_a2_08</t>
        </is>
      </c>
    </row>
    <row r="288">
      <c r="A288" s="9" t="inlineStr">
        <is>
          <t>A2-087</t>
        </is>
      </c>
      <c r="B288" s="9" t="inlineStr">
        <is>
          <t>Total: GM% downside sensitivity, customer-weighted (T6M avg)</t>
        </is>
      </c>
      <c r="C288" s="20" t="inlineStr">
        <is>
          <t>0.2931</t>
        </is>
      </c>
      <c r="D288" s="9" t="inlineStr">
        <is>
          <t>ratio</t>
        </is>
      </c>
      <c r="E288" s="9" t="inlineStr">
        <is>
          <t>mart_a2_08</t>
        </is>
      </c>
    </row>
    <row r="289">
      <c r="A289" s="9" t="inlineStr">
        <is>
          <t>A2-088</t>
        </is>
      </c>
      <c r="B289" s="9" t="inlineStr">
        <is>
          <t>Total: CAC fully loaded (T6M)</t>
        </is>
      </c>
      <c r="C289" s="20" t="inlineStr">
        <is>
          <t>617.19</t>
        </is>
      </c>
      <c r="D289" s="9" t="inlineStr">
        <is>
          <t>USD</t>
        </is>
      </c>
      <c r="E289" s="9" t="inlineStr">
        <is>
          <t>mart_a2_06</t>
        </is>
      </c>
    </row>
    <row r="290">
      <c r="A290" s="9" t="inlineStr">
        <is>
          <t>A2-089</t>
        </is>
      </c>
      <c r="B290" s="9" t="inlineStr">
        <is>
          <t>Total: CAC fully loaded (T16M)</t>
        </is>
      </c>
      <c r="C290" s="20" t="inlineStr">
        <is>
          <t>645.95</t>
        </is>
      </c>
      <c r="D290" s="9" t="inlineStr">
        <is>
          <t>USD</t>
        </is>
      </c>
      <c r="E290" s="9" t="inlineStr">
        <is>
          <t>mart_a2_06</t>
        </is>
      </c>
    </row>
    <row r="291">
      <c r="A291" s="9" t="inlineStr">
        <is>
          <t>A2-090</t>
        </is>
      </c>
      <c r="B291" s="9" t="inlineStr">
        <is>
          <t>Total: reliable survival curve horizon</t>
        </is>
      </c>
      <c r="C291" s="20" t="inlineStr">
        <is>
          <t>15</t>
        </is>
      </c>
      <c r="D291" s="9" t="inlineStr">
        <is>
          <t>months</t>
        </is>
      </c>
      <c r="E291" s="9" t="inlineStr">
        <is>
          <t>mart_a2_10</t>
        </is>
      </c>
      <c r="F291" s="9" t="inlineStr">
        <is>
          <t>exposed_n &gt;= 20</t>
        </is>
      </c>
    </row>
    <row r="292">
      <c r="A292" s="9" t="inlineStr">
        <is>
          <t>A2-091</t>
        </is>
      </c>
      <c r="B292" s="9" t="inlineStr">
        <is>
          <t>Total: lifetime, logo curve (60mo cap)</t>
        </is>
      </c>
      <c r="C292" s="20" t="inlineStr">
        <is>
          <t>21.68</t>
        </is>
      </c>
      <c r="D292" s="9" t="inlineStr">
        <is>
          <t>months</t>
        </is>
      </c>
      <c r="E292" s="9" t="inlineStr">
        <is>
          <t>mart_a2_11</t>
        </is>
      </c>
    </row>
    <row r="293">
      <c r="A293" s="9" t="inlineStr">
        <is>
          <t>A2-092</t>
        </is>
      </c>
      <c r="B293" s="9" t="inlineStr">
        <is>
          <t>Total: lifetime, dollar curve (60mo cap, base)</t>
        </is>
      </c>
      <c r="C293" s="20" t="inlineStr">
        <is>
          <t>26.56</t>
        </is>
      </c>
      <c r="D293" s="9" t="inlineStr">
        <is>
          <t>months</t>
        </is>
      </c>
      <c r="E293" s="9" t="inlineStr">
        <is>
          <t>mart_a2_11</t>
        </is>
      </c>
    </row>
    <row r="294">
      <c r="A294" s="9" t="inlineStr">
        <is>
          <t>A2-093</t>
        </is>
      </c>
      <c r="B294" s="9" t="inlineStr">
        <is>
          <t>Total: lifetime, dollar curve (36mo cap)</t>
        </is>
      </c>
      <c r="C294" s="20" t="inlineStr">
        <is>
          <t>21.15</t>
        </is>
      </c>
      <c r="D294" s="9" t="inlineStr">
        <is>
          <t>months</t>
        </is>
      </c>
      <c r="E294" s="9" t="inlineStr">
        <is>
          <t>mart_a2_11</t>
        </is>
      </c>
    </row>
    <row r="295">
      <c r="A295" s="9" t="inlineStr">
        <is>
          <t>A2-094</t>
        </is>
      </c>
      <c r="B295" s="9" t="inlineStr">
        <is>
          <t>Total: lifetime, dollar curve (uncapped, reference)</t>
        </is>
      </c>
      <c r="C295" s="20" t="inlineStr">
        <is>
          <t>31.26</t>
        </is>
      </c>
      <c r="D295" s="9" t="inlineStr">
        <is>
          <t>months</t>
        </is>
      </c>
      <c r="E295" s="9" t="inlineStr">
        <is>
          <t>mart_a2_11</t>
        </is>
      </c>
    </row>
    <row r="296">
      <c r="A296" s="9" t="inlineStr">
        <is>
          <t>A2-095</t>
        </is>
      </c>
      <c r="B296" s="9" t="inlineStr">
        <is>
          <t>Total: lifetime cross-check, 1/logo churn</t>
        </is>
      </c>
      <c r="C296" s="20" t="inlineStr">
        <is>
          <t>31.81</t>
        </is>
      </c>
      <c r="D296" s="9" t="inlineStr">
        <is>
          <t>months</t>
        </is>
      </c>
      <c r="E296" s="9" t="inlineStr">
        <is>
          <t>mart_a2_11</t>
        </is>
      </c>
    </row>
    <row r="297">
      <c r="A297" s="9" t="inlineStr">
        <is>
          <t>A2-096</t>
        </is>
      </c>
      <c r="B297" s="9" t="inlineStr">
        <is>
          <t>Total: LTV base (60mo cap)</t>
        </is>
      </c>
      <c r="C297" s="20" t="inlineStr">
        <is>
          <t>799.56</t>
        </is>
      </c>
      <c r="D297" s="9" t="inlineStr">
        <is>
          <t>USD</t>
        </is>
      </c>
      <c r="E297" s="9" t="inlineStr">
        <is>
          <t>mart_a2_12</t>
        </is>
      </c>
    </row>
    <row r="298">
      <c r="A298" s="9" t="inlineStr">
        <is>
          <t>A2-097</t>
        </is>
      </c>
      <c r="B298" s="9" t="inlineStr">
        <is>
          <t>Total: LTV:CAC (T6M)</t>
        </is>
      </c>
      <c r="C298" s="20" t="inlineStr">
        <is>
          <t>1.3</t>
        </is>
      </c>
      <c r="D298" s="9" t="inlineStr">
        <is>
          <t>ratio</t>
        </is>
      </c>
      <c r="E298" s="9" t="inlineStr">
        <is>
          <t>mart_a2_12</t>
        </is>
      </c>
      <c r="F298" s="9" t="inlineStr">
        <is>
          <t>benchmark &gt;= 3.0x</t>
        </is>
      </c>
    </row>
    <row r="299">
      <c r="A299" s="9" t="inlineStr">
        <is>
          <t>A2-098</t>
        </is>
      </c>
      <c r="B299" s="9" t="inlineStr">
        <is>
          <t>Total: CAC payback (T6M)</t>
        </is>
      </c>
      <c r="C299" s="20" t="inlineStr">
        <is>
          <t>20.5</t>
        </is>
      </c>
      <c r="D299" s="9" t="inlineStr">
        <is>
          <t>months</t>
        </is>
      </c>
      <c r="E299" s="9" t="inlineStr">
        <is>
          <t>mart_a2_12</t>
        </is>
      </c>
      <c r="F299" s="9" t="inlineStr">
        <is>
          <t>benchmark &lt;= 12.0</t>
        </is>
      </c>
    </row>
    <row r="300">
      <c r="A300" s="9" t="inlineStr">
        <is>
          <t>A2-099</t>
        </is>
      </c>
      <c r="B300" s="9" t="inlineStr">
        <is>
          <t>Total: retention-adjusted payback</t>
        </is>
      </c>
      <c r="D300" s="9" t="inlineStr">
        <is>
          <t>months</t>
        </is>
      </c>
      <c r="E300" s="9" t="inlineStr">
        <is>
          <t>mart_a2_12</t>
        </is>
      </c>
      <c r="F300" s="9" t="inlineStr">
        <is>
          <t>never (not reached within observed 15-month horizon)</t>
        </is>
      </c>
    </row>
    <row r="303">
      <c r="A303" s="3" t="inlineStr">
        <is>
          <t>Full assumptions register -- scenario/strategy drivers (WP31 sheet_inputs.csv, S-001..S-058)</t>
        </is>
      </c>
      <c r="B303" s="4" t="n"/>
      <c r="C303" s="4" t="n"/>
      <c r="D303" s="4" t="n"/>
      <c r="E303" s="4" t="n"/>
      <c r="F303" s="4" t="n"/>
      <c r="G303" s="4" t="n"/>
    </row>
    <row r="304">
      <c r="A304" s="6" t="inlineStr">
        <is>
          <t>id</t>
        </is>
      </c>
      <c r="B304" s="6" t="inlineStr">
        <is>
          <t>name</t>
        </is>
      </c>
      <c r="C304" s="6" t="inlineStr">
        <is>
          <t>value</t>
        </is>
      </c>
      <c r="D304" s="6" t="inlineStr">
        <is>
          <t>unit</t>
        </is>
      </c>
      <c r="E304" s="6" t="inlineStr">
        <is>
          <t>source</t>
        </is>
      </c>
      <c r="F304" s="6" t="inlineStr">
        <is>
          <t>note</t>
        </is>
      </c>
    </row>
    <row r="305">
      <c r="A305" s="9" t="inlineStr">
        <is>
          <t>S-001</t>
        </is>
      </c>
      <c r="B305" s="9" t="inlineStr">
        <is>
          <t>all | ALL | ALL | base | calibration_window_months</t>
        </is>
      </c>
      <c r="C305" s="20" t="n">
        <v>6</v>
      </c>
      <c r="D305" s="9" t="inlineStr">
        <is>
          <t>months</t>
        </is>
      </c>
      <c r="E305" s="9" t="inlineStr">
        <is>
          <t>mart_s_01_drivers (WP31)</t>
        </is>
      </c>
      <c r="F305" s="9" t="inlineStr">
        <is>
          <t>T6M convention (WP21/WP22); window ends 2024-04-30</t>
        </is>
      </c>
    </row>
    <row r="306">
      <c r="A306" s="9" t="inlineStr">
        <is>
          <t>S-002</t>
        </is>
      </c>
      <c r="B306" s="9" t="inlineStr">
        <is>
          <t>base | B2C | ALL | base | new_customers_per_month_avg</t>
        </is>
      </c>
      <c r="C306" s="20" t="n">
        <v>175.3333333333333</v>
      </c>
      <c r="D306" s="9" t="inlineStr">
        <is>
          <t>customers/month</t>
        </is>
      </c>
      <c r="E306" s="9" t="inlineStr">
        <is>
          <t>mart_s_01_drivers (WP31)</t>
        </is>
      </c>
      <c r="F306" s="9" t="inlineStr">
        <is>
          <t>T6M average new paying customers (mart_a2_01-style), series=['152', '162', '168', '189', '185', '196']</t>
        </is>
      </c>
    </row>
    <row r="307">
      <c r="A307" s="9" t="inlineStr">
        <is>
          <t>S-003</t>
        </is>
      </c>
      <c r="B307" s="9" t="inlineStr">
        <is>
          <t>base | B2C | ALL | base | new_customers_trend_slope</t>
        </is>
      </c>
      <c r="C307" s="20" t="n">
        <v>8.857142857142854</v>
      </c>
      <c r="D307" s="9" t="inlineStr">
        <is>
          <t>customers/month per month</t>
        </is>
      </c>
      <c r="E307" s="9" t="inlineStr">
        <is>
          <t>mart_s_01_drivers (WP31)</t>
        </is>
      </c>
      <c r="F307" s="9" t="inlineStr">
        <is>
          <t>OLS linear trend over the T6M window; used flat in Base, extrapolated in Bull (floored at Base run-rate)</t>
        </is>
      </c>
    </row>
    <row r="308">
      <c r="A308" s="9" t="inlineStr">
        <is>
          <t>S-004</t>
        </is>
      </c>
      <c r="B308" s="9" t="inlineStr">
        <is>
          <t>base | B2C | annual | base | arpa_new_customer</t>
        </is>
      </c>
      <c r="C308" s="20" t="n">
        <v>33.25</v>
      </c>
      <c r="D308" s="9" t="inlineStr">
        <is>
          <t>$/month</t>
        </is>
      </c>
      <c r="E308" s="9" t="inlineStr">
        <is>
          <t>mart_s_01_drivers (WP31)</t>
        </is>
      </c>
      <c r="F308" s="9" t="inlineStr">
        <is>
          <t>avg mrr of period_number=1 subs, T6M window, n=343</t>
        </is>
      </c>
    </row>
    <row r="309">
      <c r="A309" s="9" t="inlineStr">
        <is>
          <t>S-005</t>
        </is>
      </c>
      <c r="B309" s="9" t="inlineStr">
        <is>
          <t>base | B2C | annual | base | churn_rate_monthly</t>
        </is>
      </c>
      <c r="C309" s="20" t="n">
        <v>0.0028697224577626</v>
      </c>
      <c r="D309" s="9" t="inlineStr">
        <is>
          <t>fraction/month</t>
        </is>
      </c>
      <c r="E309" s="9" t="inlineStr">
        <is>
          <t>mart_s_01_drivers (WP31)</t>
        </is>
      </c>
      <c r="F309" s="9" t="inlineStr">
        <is>
          <t>fct_subscriptions renewal-basis + fct_customer_mrr_monthly $ decomposition, T6M window ending 2024-04-30; raw rate 0.0339 on n=118 (annualized-&gt;monthly via 1-(1-r)^(1/12), A-19c)</t>
        </is>
      </c>
    </row>
    <row r="310">
      <c r="A310" s="9" t="inlineStr">
        <is>
          <t>S-006</t>
        </is>
      </c>
      <c r="B310" s="9" t="inlineStr">
        <is>
          <t>base | B2C | annual | base | contraction_rate_monthly</t>
        </is>
      </c>
      <c r="C310" s="20" t="n">
        <v>0</v>
      </c>
      <c r="D310" s="9" t="inlineStr">
        <is>
          <t>fraction/month of retained MRR</t>
        </is>
      </c>
      <c r="E310" s="9" t="inlineStr">
        <is>
          <t>mart_s_01_drivers (WP31)</t>
        </is>
      </c>
      <c r="F310" s="9" t="inlineStr">
        <is>
          <t>mart_a3_03-style $ decomposition /6 (B2B only; B2C=0 by construction, verified fact)</t>
        </is>
      </c>
    </row>
    <row r="311">
      <c r="A311" s="9" t="inlineStr">
        <is>
          <t>S-007</t>
        </is>
      </c>
      <c r="B311" s="9" t="inlineStr">
        <is>
          <t>base | B2C | annual | base | expansion_rate_monthly</t>
        </is>
      </c>
      <c r="C311" s="20" t="n">
        <v>0</v>
      </c>
      <c r="D311" s="9" t="inlineStr">
        <is>
          <t>fraction/month of retained MRR</t>
        </is>
      </c>
      <c r="E311" s="9" t="inlineStr">
        <is>
          <t>mart_s_01_drivers (WP31)</t>
        </is>
      </c>
      <c r="F311" s="9" t="inlineStr">
        <is>
          <t>mart_a3_03-style $ decomposition /6 (B2B only; B2C=0 by construction, verified fact)</t>
        </is>
      </c>
    </row>
    <row r="312">
      <c r="A312" s="9" t="inlineStr">
        <is>
          <t>S-008</t>
        </is>
      </c>
      <c r="B312" s="9" t="inlineStr">
        <is>
          <t>base | B2C | annual | base | plan_mix_share</t>
        </is>
      </c>
      <c r="C312" s="20" t="n">
        <v>0.3260456273764258</v>
      </c>
      <c r="D312" s="9" t="inlineStr">
        <is>
          <t>fraction of segment new custs</t>
        </is>
      </c>
      <c r="E312" s="9" t="inlineStr">
        <is>
          <t>mart_s_01_drivers (WP31)</t>
        </is>
      </c>
      <c r="F312" s="9" t="inlineStr">
        <is>
          <t>share of new customers on this plan, T6M window</t>
        </is>
      </c>
    </row>
    <row r="313">
      <c r="A313" s="9" t="inlineStr">
        <is>
          <t>S-009</t>
        </is>
      </c>
      <c r="B313" s="9" t="inlineStr">
        <is>
          <t>base | B2C | monthly | base | arpa_new_customer</t>
        </is>
      </c>
      <c r="C313" s="20" t="n">
        <v>49</v>
      </c>
      <c r="D313" s="9" t="inlineStr">
        <is>
          <t>$/month</t>
        </is>
      </c>
      <c r="E313" s="9" t="inlineStr">
        <is>
          <t>mart_s_01_drivers (WP31)</t>
        </is>
      </c>
      <c r="F313" s="9" t="inlineStr">
        <is>
          <t>avg mrr of period_number=1 subs, T6M window, n=709</t>
        </is>
      </c>
    </row>
    <row r="314">
      <c r="A314" s="9" t="inlineStr">
        <is>
          <t>S-010</t>
        </is>
      </c>
      <c r="B314" s="9" t="inlineStr">
        <is>
          <t>base | B2C | monthly | base | churn_rate_monthly</t>
        </is>
      </c>
      <c r="C314" s="20" t="n">
        <v>0.1057692307692307</v>
      </c>
      <c r="D314" s="9" t="inlineStr">
        <is>
          <t>fraction/month</t>
        </is>
      </c>
      <c r="E314" s="9" t="inlineStr">
        <is>
          <t>mart_s_01_drivers (WP31)</t>
        </is>
      </c>
      <c r="F314" s="9" t="inlineStr">
        <is>
          <t>fct_subscriptions renewal-basis + fct_customer_mrr_monthly $ decomposition, T6M window ending 2024-04-30; raw rate 0.1058 on n=4056</t>
        </is>
      </c>
    </row>
    <row r="315">
      <c r="A315" s="9" t="inlineStr">
        <is>
          <t>S-011</t>
        </is>
      </c>
      <c r="B315" s="9" t="inlineStr">
        <is>
          <t>base | B2C | monthly | base | contraction_rate_monthly</t>
        </is>
      </c>
      <c r="C315" s="20" t="n">
        <v>0</v>
      </c>
      <c r="D315" s="9" t="inlineStr">
        <is>
          <t>fraction/month of retained MRR</t>
        </is>
      </c>
      <c r="E315" s="9" t="inlineStr">
        <is>
          <t>mart_s_01_drivers (WP31)</t>
        </is>
      </c>
      <c r="F315" s="9" t="inlineStr">
        <is>
          <t>mart_a3_03-style $ decomposition /6 (B2B only; B2C=0 by construction, verified fact)</t>
        </is>
      </c>
    </row>
    <row r="316">
      <c r="A316" s="9" t="inlineStr">
        <is>
          <t>S-012</t>
        </is>
      </c>
      <c r="B316" s="9" t="inlineStr">
        <is>
          <t>base | B2C | monthly | base | expansion_rate_monthly</t>
        </is>
      </c>
      <c r="C316" s="20" t="n">
        <v>0</v>
      </c>
      <c r="D316" s="9" t="inlineStr">
        <is>
          <t>fraction/month of retained MRR</t>
        </is>
      </c>
      <c r="E316" s="9" t="inlineStr">
        <is>
          <t>mart_s_01_drivers (WP31)</t>
        </is>
      </c>
      <c r="F316" s="9" t="inlineStr">
        <is>
          <t>mart_a3_03-style $ decomposition /6 (B2B only; B2C=0 by construction, verified fact)</t>
        </is>
      </c>
    </row>
    <row r="317">
      <c r="A317" s="9" t="inlineStr">
        <is>
          <t>S-013</t>
        </is>
      </c>
      <c r="B317" s="9" t="inlineStr">
        <is>
          <t>base | B2C | monthly | base | plan_mix_share</t>
        </is>
      </c>
      <c r="C317" s="20" t="n">
        <v>0.6739543726235742</v>
      </c>
      <c r="D317" s="9" t="inlineStr">
        <is>
          <t>fraction of segment new custs</t>
        </is>
      </c>
      <c r="E317" s="9" t="inlineStr">
        <is>
          <t>mart_s_01_drivers (WP31)</t>
        </is>
      </c>
      <c r="F317" s="9" t="inlineStr">
        <is>
          <t>share of new customers on this plan, T6M window</t>
        </is>
      </c>
    </row>
    <row r="318">
      <c r="A318" s="9" t="inlineStr">
        <is>
          <t>S-014</t>
        </is>
      </c>
      <c r="B318" s="9" t="inlineStr">
        <is>
          <t>base | Enterprise | ALL | base | new_customers_per_month_avg</t>
        </is>
      </c>
      <c r="C318" s="20" t="n">
        <v>9.666666666666666</v>
      </c>
      <c r="D318" s="9" t="inlineStr">
        <is>
          <t>customers/month</t>
        </is>
      </c>
      <c r="E318" s="9" t="inlineStr">
        <is>
          <t>mart_s_01_drivers (WP31)</t>
        </is>
      </c>
      <c r="F318" s="9" t="inlineStr">
        <is>
          <t>T6M average new paying customers (mart_a2_01-style), series=['9', '10', '9', '10', '10', '10']</t>
        </is>
      </c>
    </row>
    <row r="319">
      <c r="A319" s="9" t="inlineStr">
        <is>
          <t>S-015</t>
        </is>
      </c>
      <c r="B319" s="9" t="inlineStr">
        <is>
          <t>base | Enterprise | ALL | base | new_customers_trend_slope</t>
        </is>
      </c>
      <c r="C319" s="20" t="n">
        <v>0.1714285714285717</v>
      </c>
      <c r="D319" s="9" t="inlineStr">
        <is>
          <t>customers/month per month</t>
        </is>
      </c>
      <c r="E319" s="9" t="inlineStr">
        <is>
          <t>mart_s_01_drivers (WP31)</t>
        </is>
      </c>
      <c r="F319" s="9" t="inlineStr">
        <is>
          <t>OLS linear trend over the T6M window; used flat in Base, extrapolated in Bull (floored at Base run-rate)</t>
        </is>
      </c>
    </row>
    <row r="320">
      <c r="A320" s="9" t="inlineStr">
        <is>
          <t>S-016</t>
        </is>
      </c>
      <c r="B320" s="9" t="inlineStr">
        <is>
          <t>base | Enterprise | annual | base | arpa_new_customer</t>
        </is>
      </c>
      <c r="C320" s="20" t="n">
        <v>825</v>
      </c>
      <c r="D320" s="9" t="inlineStr">
        <is>
          <t>$/month</t>
        </is>
      </c>
      <c r="E320" s="9" t="inlineStr">
        <is>
          <t>mart_s_01_drivers (WP31)</t>
        </is>
      </c>
      <c r="F320" s="9" t="inlineStr">
        <is>
          <t>avg mrr of period_number=1 subs, T6M window, n=49</t>
        </is>
      </c>
    </row>
    <row r="321">
      <c r="A321" s="9" t="inlineStr">
        <is>
          <t>S-017</t>
        </is>
      </c>
      <c r="B321" s="9" t="inlineStr">
        <is>
          <t>base | Enterprise | annual | base | churn_rate_monthly</t>
        </is>
      </c>
      <c r="C321" s="20" t="n">
        <v>0.008741610954696701</v>
      </c>
      <c r="D321" s="9" t="inlineStr">
        <is>
          <t>fraction/month</t>
        </is>
      </c>
      <c r="E321" s="9" t="inlineStr">
        <is>
          <t>mart_s_01_drivers (WP31)</t>
        </is>
      </c>
      <c r="F321" s="9" t="inlineStr">
        <is>
          <t>fct_subscriptions renewal-basis + fct_customer_mrr_monthly $ decomposition, T6M window ending 2024-04-30; raw rate 0.1000 on n=10 (annualized-&gt;monthly via 1-(1-r)^(1/12), A-19c)</t>
        </is>
      </c>
    </row>
    <row r="322">
      <c r="A322" s="9" t="inlineStr">
        <is>
          <t>S-018</t>
        </is>
      </c>
      <c r="B322" s="9" t="inlineStr">
        <is>
          <t>base | Enterprise | annual | base | contraction_rate_monthly</t>
        </is>
      </c>
      <c r="C322" s="20" t="n">
        <v>0.0011236417255258</v>
      </c>
      <c r="D322" s="9" t="inlineStr">
        <is>
          <t>fraction/month of retained MRR</t>
        </is>
      </c>
      <c r="E322" s="9" t="inlineStr">
        <is>
          <t>mart_s_01_drivers (WP31)</t>
        </is>
      </c>
      <c r="F322" s="9" t="inlineStr">
        <is>
          <t>mart_a3_03-style $ decomposition /6 (B2B only; B2C=0 by construction, verified fact)</t>
        </is>
      </c>
    </row>
    <row r="323">
      <c r="A323" s="9" t="inlineStr">
        <is>
          <t>S-019</t>
        </is>
      </c>
      <c r="B323" s="9" t="inlineStr">
        <is>
          <t>base | Enterprise | annual | base | expansion_rate_monthly</t>
        </is>
      </c>
      <c r="C323" s="20" t="n">
        <v>0.0011664098132846</v>
      </c>
      <c r="D323" s="9" t="inlineStr">
        <is>
          <t>fraction/month of retained MRR</t>
        </is>
      </c>
      <c r="E323" s="9" t="inlineStr">
        <is>
          <t>mart_s_01_drivers (WP31)</t>
        </is>
      </c>
      <c r="F323" s="9" t="inlineStr">
        <is>
          <t>mart_a3_03-style $ decomposition /6 (B2B only; B2C=0 by construction, verified fact)</t>
        </is>
      </c>
    </row>
    <row r="324">
      <c r="A324" s="9" t="inlineStr">
        <is>
          <t>S-020</t>
        </is>
      </c>
      <c r="B324" s="9" t="inlineStr">
        <is>
          <t>base | Enterprise | annual | base | plan_mix_share</t>
        </is>
      </c>
      <c r="C324" s="20" t="n">
        <v>0.8448275862068966</v>
      </c>
      <c r="D324" s="9" t="inlineStr">
        <is>
          <t>fraction of segment new custs</t>
        </is>
      </c>
      <c r="E324" s="9" t="inlineStr">
        <is>
          <t>mart_s_01_drivers (WP31)</t>
        </is>
      </c>
      <c r="F324" s="9" t="inlineStr">
        <is>
          <t>share of new customers on this plan, T6M window</t>
        </is>
      </c>
    </row>
    <row r="325">
      <c r="A325" s="9" t="inlineStr">
        <is>
          <t>S-021</t>
        </is>
      </c>
      <c r="B325" s="9" t="inlineStr">
        <is>
          <t>base | Enterprise | monthly | base | arpa_new_customer</t>
        </is>
      </c>
      <c r="C325" s="20" t="n">
        <v>990</v>
      </c>
      <c r="D325" s="9" t="inlineStr">
        <is>
          <t>$/month</t>
        </is>
      </c>
      <c r="E325" s="9" t="inlineStr">
        <is>
          <t>mart_s_01_drivers (WP31)</t>
        </is>
      </c>
      <c r="F325" s="9" t="inlineStr">
        <is>
          <t>avg mrr of period_number=1 subs, T6M window, n=9</t>
        </is>
      </c>
    </row>
    <row r="326">
      <c r="A326" s="9" t="inlineStr">
        <is>
          <t>S-022</t>
        </is>
      </c>
      <c r="B326" s="9" t="inlineStr">
        <is>
          <t>base | Enterprise | monthly | base | churn_rate_monthly</t>
        </is>
      </c>
      <c r="C326" s="20" t="n">
        <v>0.0576923076923076</v>
      </c>
      <c r="D326" s="9" t="inlineStr">
        <is>
          <t>fraction/month</t>
        </is>
      </c>
      <c r="E326" s="9" t="inlineStr">
        <is>
          <t>mart_s_01_drivers (WP31)</t>
        </is>
      </c>
      <c r="F326" s="9" t="inlineStr">
        <is>
          <t>fct_subscriptions renewal-basis + fct_customer_mrr_monthly $ decomposition, T6M window ending 2024-04-30; raw rate 0.0577 on n=52</t>
        </is>
      </c>
    </row>
    <row r="327">
      <c r="A327" s="9" t="inlineStr">
        <is>
          <t>S-023</t>
        </is>
      </c>
      <c r="B327" s="9" t="inlineStr">
        <is>
          <t>base | Enterprise | monthly | base | contraction_rate_monthly</t>
        </is>
      </c>
      <c r="C327" s="20" t="n">
        <v>0.0011236417255258</v>
      </c>
      <c r="D327" s="9" t="inlineStr">
        <is>
          <t>fraction/month of retained MRR</t>
        </is>
      </c>
      <c r="E327" s="9" t="inlineStr">
        <is>
          <t>mart_s_01_drivers (WP31)</t>
        </is>
      </c>
      <c r="F327" s="9" t="inlineStr">
        <is>
          <t>mart_a3_03-style $ decomposition /6 (B2B only; B2C=0 by construction, verified fact)</t>
        </is>
      </c>
    </row>
    <row r="328">
      <c r="A328" s="9" t="inlineStr">
        <is>
          <t>S-024</t>
        </is>
      </c>
      <c r="B328" s="9" t="inlineStr">
        <is>
          <t>base | Enterprise | monthly | base | expansion_rate_monthly</t>
        </is>
      </c>
      <c r="C328" s="20" t="n">
        <v>0.0011664098132846</v>
      </c>
      <c r="D328" s="9" t="inlineStr">
        <is>
          <t>fraction/month of retained MRR</t>
        </is>
      </c>
      <c r="E328" s="9" t="inlineStr">
        <is>
          <t>mart_s_01_drivers (WP31)</t>
        </is>
      </c>
      <c r="F328" s="9" t="inlineStr">
        <is>
          <t>mart_a3_03-style $ decomposition /6 (B2B only; B2C=0 by construction, verified fact)</t>
        </is>
      </c>
    </row>
    <row r="329">
      <c r="A329" s="9" t="inlineStr">
        <is>
          <t>S-025</t>
        </is>
      </c>
      <c r="B329" s="9" t="inlineStr">
        <is>
          <t>base | Enterprise | monthly | base | plan_mix_share</t>
        </is>
      </c>
      <c r="C329" s="20" t="n">
        <v>0.1551724137931034</v>
      </c>
      <c r="D329" s="9" t="inlineStr">
        <is>
          <t>fraction of segment new custs</t>
        </is>
      </c>
      <c r="E329" s="9" t="inlineStr">
        <is>
          <t>mart_s_01_drivers (WP31)</t>
        </is>
      </c>
      <c r="F329" s="9" t="inlineStr">
        <is>
          <t>share of new customers on this plan, T6M window</t>
        </is>
      </c>
    </row>
    <row r="330">
      <c r="A330" s="9" t="inlineStr">
        <is>
          <t>S-026</t>
        </is>
      </c>
      <c r="B330" s="9" t="inlineStr">
        <is>
          <t>base | SMB | ALL | base | new_customers_per_month_avg</t>
        </is>
      </c>
      <c r="C330" s="20" t="n">
        <v>30.5</v>
      </c>
      <c r="D330" s="9" t="inlineStr">
        <is>
          <t>customers/month</t>
        </is>
      </c>
      <c r="E330" s="9" t="inlineStr">
        <is>
          <t>mart_s_01_drivers (WP31)</t>
        </is>
      </c>
      <c r="F330" s="9" t="inlineStr">
        <is>
          <t>T6M average new paying customers (mart_a2_01-style), series=['24', '28', '31', '33', '34', '33']</t>
        </is>
      </c>
    </row>
    <row r="331">
      <c r="A331" s="9" t="inlineStr">
        <is>
          <t>S-027</t>
        </is>
      </c>
      <c r="B331" s="9" t="inlineStr">
        <is>
          <t>base | SMB | ALL | base | new_customers_trend_slope</t>
        </is>
      </c>
      <c r="C331" s="20" t="n">
        <v>1.857142857142857</v>
      </c>
      <c r="D331" s="9" t="inlineStr">
        <is>
          <t>customers/month per month</t>
        </is>
      </c>
      <c r="E331" s="9" t="inlineStr">
        <is>
          <t>mart_s_01_drivers (WP31)</t>
        </is>
      </c>
      <c r="F331" s="9" t="inlineStr">
        <is>
          <t>OLS linear trend over the T6M window; used flat in Base, extrapolated in Bull (floored at Base run-rate)</t>
        </is>
      </c>
    </row>
    <row r="332">
      <c r="A332" s="9" t="inlineStr">
        <is>
          <t>S-028</t>
        </is>
      </c>
      <c r="B332" s="9" t="inlineStr">
        <is>
          <t>base | SMB | annual | base | arpa_new_customer</t>
        </is>
      </c>
      <c r="C332" s="20" t="n">
        <v>149.92</v>
      </c>
      <c r="D332" s="9" t="inlineStr">
        <is>
          <t>$/month</t>
        </is>
      </c>
      <c r="E332" s="9" t="inlineStr">
        <is>
          <t>mart_s_01_drivers (WP31)</t>
        </is>
      </c>
      <c r="F332" s="9" t="inlineStr">
        <is>
          <t>avg mrr of period_number=1 subs, T6M window, n=97</t>
        </is>
      </c>
    </row>
    <row r="333">
      <c r="A333" s="9" t="inlineStr">
        <is>
          <t>S-029</t>
        </is>
      </c>
      <c r="B333" s="9" t="inlineStr">
        <is>
          <t>base | SMB | annual | base | churn_rate_monthly</t>
        </is>
      </c>
      <c r="C333" s="20" t="n">
        <v>0.0031400869140515</v>
      </c>
      <c r="D333" s="9" t="inlineStr">
        <is>
          <t>fraction/month</t>
        </is>
      </c>
      <c r="E333" s="9" t="inlineStr">
        <is>
          <t>mart_s_01_drivers (WP31)</t>
        </is>
      </c>
      <c r="F333" s="9" t="inlineStr">
        <is>
          <t>fct_subscriptions renewal-basis + fct_customer_mrr_monthly $ decomposition, T6M window ending 2024-04-30; raw rate 0.0370 on n=27 (annualized-&gt;monthly via 1-(1-r)^(1/12), A-19c)</t>
        </is>
      </c>
    </row>
    <row r="334">
      <c r="A334" s="9" t="inlineStr">
        <is>
          <t>S-030</t>
        </is>
      </c>
      <c r="B334" s="9" t="inlineStr">
        <is>
          <t>base | SMB | annual | base | contraction_rate_monthly</t>
        </is>
      </c>
      <c r="C334" s="20" t="n">
        <v>0.0006440561297893</v>
      </c>
      <c r="D334" s="9" t="inlineStr">
        <is>
          <t>fraction/month of retained MRR</t>
        </is>
      </c>
      <c r="E334" s="9" t="inlineStr">
        <is>
          <t>mart_s_01_drivers (WP31)</t>
        </is>
      </c>
      <c r="F334" s="9" t="inlineStr">
        <is>
          <t>mart_a3_03-style $ decomposition /6 (B2B only; B2C=0 by construction, verified fact)</t>
        </is>
      </c>
    </row>
    <row r="335">
      <c r="A335" s="9" t="inlineStr">
        <is>
          <t>S-031</t>
        </is>
      </c>
      <c r="B335" s="9" t="inlineStr">
        <is>
          <t>base | SMB | annual | base | expansion_rate_monthly</t>
        </is>
      </c>
      <c r="C335" s="20" t="n">
        <v>0.008826604732514899</v>
      </c>
      <c r="D335" s="9" t="inlineStr">
        <is>
          <t>fraction/month of retained MRR</t>
        </is>
      </c>
      <c r="E335" s="9" t="inlineStr">
        <is>
          <t>mart_s_01_drivers (WP31)</t>
        </is>
      </c>
      <c r="F335" s="9" t="inlineStr">
        <is>
          <t>mart_a3_03-style $ decomposition /6 (B2B only; B2C=0 by construction, verified fact)</t>
        </is>
      </c>
    </row>
    <row r="336">
      <c r="A336" s="9" t="inlineStr">
        <is>
          <t>S-032</t>
        </is>
      </c>
      <c r="B336" s="9" t="inlineStr">
        <is>
          <t>base | SMB | annual | base | plan_mix_share</t>
        </is>
      </c>
      <c r="C336" s="20" t="n">
        <v>0.5300546448087432</v>
      </c>
      <c r="D336" s="9" t="inlineStr">
        <is>
          <t>fraction of segment new custs</t>
        </is>
      </c>
      <c r="E336" s="9" t="inlineStr">
        <is>
          <t>mart_s_01_drivers (WP31)</t>
        </is>
      </c>
      <c r="F336" s="9" t="inlineStr">
        <is>
          <t>share of new customers on this plan, T6M window</t>
        </is>
      </c>
    </row>
    <row r="337">
      <c r="A337" s="9" t="inlineStr">
        <is>
          <t>S-033</t>
        </is>
      </c>
      <c r="B337" s="9" t="inlineStr">
        <is>
          <t>base | SMB | monthly | base | arpa_new_customer</t>
        </is>
      </c>
      <c r="C337" s="20" t="n">
        <v>199</v>
      </c>
      <c r="D337" s="9" t="inlineStr">
        <is>
          <t>$/month</t>
        </is>
      </c>
      <c r="E337" s="9" t="inlineStr">
        <is>
          <t>mart_s_01_drivers (WP31)</t>
        </is>
      </c>
      <c r="F337" s="9" t="inlineStr">
        <is>
          <t>avg mrr of period_number=1 subs, T6M window, n=86</t>
        </is>
      </c>
    </row>
    <row r="338">
      <c r="A338" s="9" t="inlineStr">
        <is>
          <t>S-034</t>
        </is>
      </c>
      <c r="B338" s="9" t="inlineStr">
        <is>
          <t>base | SMB | monthly | base | churn_rate_monthly</t>
        </is>
      </c>
      <c r="C338" s="20" t="n">
        <v>0.07378640776699021</v>
      </c>
      <c r="D338" s="9" t="inlineStr">
        <is>
          <t>fraction/month</t>
        </is>
      </c>
      <c r="E338" s="9" t="inlineStr">
        <is>
          <t>mart_s_01_drivers (WP31)</t>
        </is>
      </c>
      <c r="F338" s="9" t="inlineStr">
        <is>
          <t>fct_subscriptions renewal-basis + fct_customer_mrr_monthly $ decomposition, T6M window ending 2024-04-30; raw rate 0.0738 on n=515</t>
        </is>
      </c>
    </row>
    <row r="339">
      <c r="A339" s="9" t="inlineStr">
        <is>
          <t>S-035</t>
        </is>
      </c>
      <c r="B339" s="9" t="inlineStr">
        <is>
          <t>base | SMB | monthly | base | contraction_rate_monthly</t>
        </is>
      </c>
      <c r="C339" s="20" t="n">
        <v>0.0006440561297893</v>
      </c>
      <c r="D339" s="9" t="inlineStr">
        <is>
          <t>fraction/month of retained MRR</t>
        </is>
      </c>
      <c r="E339" s="9" t="inlineStr">
        <is>
          <t>mart_s_01_drivers (WP31)</t>
        </is>
      </c>
      <c r="F339" s="9" t="inlineStr">
        <is>
          <t>mart_a3_03-style $ decomposition /6 (B2B only; B2C=0 by construction, verified fact)</t>
        </is>
      </c>
    </row>
    <row r="340">
      <c r="A340" s="9" t="inlineStr">
        <is>
          <t>S-036</t>
        </is>
      </c>
      <c r="B340" s="9" t="inlineStr">
        <is>
          <t>base | SMB | monthly | base | expansion_rate_monthly</t>
        </is>
      </c>
      <c r="C340" s="20" t="n">
        <v>0.008826604732514899</v>
      </c>
      <c r="D340" s="9" t="inlineStr">
        <is>
          <t>fraction/month of retained MRR</t>
        </is>
      </c>
      <c r="E340" s="9" t="inlineStr">
        <is>
          <t>mart_s_01_drivers (WP31)</t>
        </is>
      </c>
      <c r="F340" s="9" t="inlineStr">
        <is>
          <t>mart_a3_03-style $ decomposition /6 (B2B only; B2C=0 by construction, verified fact)</t>
        </is>
      </c>
    </row>
    <row r="341">
      <c r="A341" s="9" t="inlineStr">
        <is>
          <t>S-037</t>
        </is>
      </c>
      <c r="B341" s="9" t="inlineStr">
        <is>
          <t>base | SMB | monthly | base | plan_mix_share</t>
        </is>
      </c>
      <c r="C341" s="20" t="n">
        <v>0.4699453551912568</v>
      </c>
      <c r="D341" s="9" t="inlineStr">
        <is>
          <t>fraction of segment new custs</t>
        </is>
      </c>
      <c r="E341" s="9" t="inlineStr">
        <is>
          <t>mart_s_01_drivers (WP31)</t>
        </is>
      </c>
      <c r="F341" s="9" t="inlineStr">
        <is>
          <t>share of new customers on this plan, T6M window</t>
        </is>
      </c>
    </row>
    <row r="342">
      <c r="A342" s="9" t="inlineStr">
        <is>
          <t>S-038</t>
        </is>
      </c>
      <c r="B342" s="9" t="inlineStr">
        <is>
          <t>bear | ALL | ALL | base | acquisition_relative_decline</t>
        </is>
      </c>
      <c r="C342" s="20" t="n">
        <v>0.1</v>
      </c>
      <c r="D342" s="9" t="inlineStr">
        <is>
          <t>relative %</t>
        </is>
      </c>
      <c r="E342" s="9" t="inlineStr">
        <is>
          <t>mart_s_01_drivers (WP31)</t>
        </is>
      </c>
      <c r="F342" s="9" t="inlineStr">
        <is>
          <t>Proposed A-19b: ~1.5x the worst observed single-month new-customer decline (-6.3%), sustained for 12mo</t>
        </is>
      </c>
    </row>
    <row r="343">
      <c r="A343" s="9" t="inlineStr">
        <is>
          <t>S-039</t>
        </is>
      </c>
      <c r="B343" s="9" t="inlineStr">
        <is>
          <t>bear | ALL | ALL | base | churn_relative_increase</t>
        </is>
      </c>
      <c r="C343" s="20" t="n">
        <v>0.15</v>
      </c>
      <c r="D343" s="9" t="inlineStr">
        <is>
          <t>relative %</t>
        </is>
      </c>
      <c r="E343" s="9" t="inlineStr">
        <is>
          <t>mart_s_01_drivers (WP31)</t>
        </is>
      </c>
      <c r="F343" s="9" t="inlineStr">
        <is>
          <t>Proposed A-19: largest positive MoM deviation from the T12M mean in B2C-monthly logo churn (see results.md)</t>
        </is>
      </c>
    </row>
    <row r="344">
      <c r="A344" s="9" t="inlineStr">
        <is>
          <t>S-040</t>
        </is>
      </c>
      <c r="B344" s="9" t="inlineStr">
        <is>
          <t>bear | Enterprise | ALL | base | expansion_multiplier</t>
        </is>
      </c>
      <c r="C344" s="20" t="n">
        <v>0.5</v>
      </c>
      <c r="D344" s="9" t="inlineStr">
        <is>
          <t>multiplier</t>
        </is>
      </c>
      <c r="E344" s="9" t="inlineStr">
        <is>
          <t>mart_s_01_drivers (WP31)</t>
        </is>
      </c>
      <c r="F344" s="9" t="inlineStr">
        <is>
          <t>brief: bear = expansion halved</t>
        </is>
      </c>
    </row>
    <row r="345">
      <c r="A345" s="9" t="inlineStr">
        <is>
          <t>S-041</t>
        </is>
      </c>
      <c r="B345" s="9" t="inlineStr">
        <is>
          <t>bear | SMB | ALL | base | expansion_multiplier</t>
        </is>
      </c>
      <c r="C345" s="20" t="n">
        <v>0.5</v>
      </c>
      <c r="D345" s="9" t="inlineStr">
        <is>
          <t>multiplier</t>
        </is>
      </c>
      <c r="E345" s="9" t="inlineStr">
        <is>
          <t>mart_s_01_drivers (WP31)</t>
        </is>
      </c>
      <c r="F345" s="9" t="inlineStr">
        <is>
          <t>brief: bear = expansion halved</t>
        </is>
      </c>
    </row>
    <row r="346">
      <c r="A346" s="9" t="inlineStr">
        <is>
          <t>S-042</t>
        </is>
      </c>
      <c r="B346" s="9" t="inlineStr">
        <is>
          <t>bull | ALL | ALL | base | acquisition_mode</t>
        </is>
      </c>
      <c r="C346" s="20" t="n">
        <v>1</v>
      </c>
      <c r="D346" s="9" t="inlineStr">
        <is>
          <t>flag (trend=1)</t>
        </is>
      </c>
      <c r="E346" s="9" t="inlineStr">
        <is>
          <t>mart_s_01_drivers (WP31)</t>
        </is>
      </c>
      <c r="F346" s="9" t="inlineStr">
        <is>
          <t>Bull continues the observed T6M linear acquisition trend, floored at the Base run-rate</t>
        </is>
      </c>
    </row>
    <row r="347">
      <c r="A347" s="9" t="inlineStr">
        <is>
          <t>S-043</t>
        </is>
      </c>
      <c r="B347" s="9" t="inlineStr">
        <is>
          <t>bull | ALL | monthly | base | churn_save_rate</t>
        </is>
      </c>
      <c r="C347" s="20" t="n">
        <v>0.2</v>
      </c>
      <c r="D347" s="9" t="inlineStr">
        <is>
          <t>fraction saved</t>
        </is>
      </c>
      <c r="E347" s="9" t="inlineStr">
        <is>
          <t>mart_s_01_drivers (WP31)</t>
        </is>
      </c>
      <c r="F347" s="9" t="inlineStr">
        <is>
          <t xml:space="preserve"> = WP23 Strategy-1 base case</t>
        </is>
      </c>
    </row>
    <row r="348">
      <c r="A348" s="9" t="inlineStr">
        <is>
          <t>S-044</t>
        </is>
      </c>
      <c r="B348" s="9" t="inlineStr">
        <is>
          <t>bull | B2C | monthly | base | migration_rate_monthly</t>
        </is>
      </c>
      <c r="C348" s="20" t="n">
        <v>0.04</v>
      </c>
      <c r="D348" s="9" t="inlineStr">
        <is>
          <t>fraction/month</t>
        </is>
      </c>
      <c r="E348" s="9" t="inlineStr">
        <is>
          <t>mart_s_01_drivers (WP31)</t>
        </is>
      </c>
      <c r="F348" s="9" t="inlineStr">
        <is>
          <t xml:space="preserve"> = WP23 Strategy-2 base case</t>
        </is>
      </c>
    </row>
    <row r="349">
      <c r="A349" s="9" t="inlineStr">
        <is>
          <t>S-045</t>
        </is>
      </c>
      <c r="B349" s="9" t="inlineStr">
        <is>
          <t>bull | Enterprise | ALL | base | contraction_reduction</t>
        </is>
      </c>
      <c r="C349" s="20" t="n">
        <v>0.5</v>
      </c>
      <c r="D349" s="9" t="inlineStr">
        <is>
          <t>relative %</t>
        </is>
      </c>
      <c r="E349" s="9" t="inlineStr">
        <is>
          <t>mart_s_01_drivers (WP31)</t>
        </is>
      </c>
      <c r="F349" s="9" t="inlineStr">
        <is>
          <t xml:space="preserve"> = WP23 Strategy-3 base case</t>
        </is>
      </c>
    </row>
    <row r="350">
      <c r="A350" s="9" t="inlineStr">
        <is>
          <t>S-046</t>
        </is>
      </c>
      <c r="B350" s="9" t="inlineStr">
        <is>
          <t>bull | SMB | ALL | base | expansion_uplift</t>
        </is>
      </c>
      <c r="C350" s="20" t="n">
        <v>0.4</v>
      </c>
      <c r="D350" s="9" t="inlineStr">
        <is>
          <t>relative %</t>
        </is>
      </c>
      <c r="E350" s="9" t="inlineStr">
        <is>
          <t>mart_s_01_drivers (WP31)</t>
        </is>
      </c>
      <c r="F350" s="9" t="inlineStr">
        <is>
          <t xml:space="preserve"> = WP23 Strategy-3 base case</t>
        </is>
      </c>
    </row>
    <row r="351">
      <c r="A351" s="9" t="inlineStr">
        <is>
          <t>S-047</t>
        </is>
      </c>
      <c r="B351" s="9" t="inlineStr">
        <is>
          <t>strategy_1_engagement_alert | ALL | monthly | base | save_rate</t>
        </is>
      </c>
      <c r="C351" s="20" t="n">
        <v>0.2</v>
      </c>
      <c r="D351" s="9" t="inlineStr">
        <is>
          <t>fraction of flagged would-be churners saved</t>
        </is>
      </c>
      <c r="E351" s="9" t="inlineStr">
        <is>
          <t>mart_s_01_drivers (WP31)</t>
        </is>
      </c>
      <c r="F351" s="9" t="inlineStr">
        <is>
          <t>Industry-typical outbound-save-rate range (brief-stated 10-30%); applied to monthly-plan churn only (D-18 in-period signal)</t>
        </is>
      </c>
    </row>
    <row r="352">
      <c r="A352" s="9" t="inlineStr">
        <is>
          <t>S-048</t>
        </is>
      </c>
      <c r="B352" s="9" t="inlineStr">
        <is>
          <t>strategy_1_engagement_alert | ALL | monthly | high | save_rate</t>
        </is>
      </c>
      <c r="C352" s="20" t="n">
        <v>0.3</v>
      </c>
      <c r="D352" s="9" t="inlineStr">
        <is>
          <t>fraction of flagged would-be churners saved</t>
        </is>
      </c>
      <c r="E352" s="9" t="inlineStr">
        <is>
          <t>mart_s_01_drivers (WP31)</t>
        </is>
      </c>
      <c r="F352" s="9" t="inlineStr">
        <is>
          <t>Industry-typical outbound-save-rate range (brief-stated 10-30%); applied to monthly-plan churn only (D-18 in-period signal)</t>
        </is>
      </c>
    </row>
    <row r="353">
      <c r="A353" s="9" t="inlineStr">
        <is>
          <t>S-049</t>
        </is>
      </c>
      <c r="B353" s="9" t="inlineStr">
        <is>
          <t>strategy_1_engagement_alert | ALL | monthly | low | save_rate</t>
        </is>
      </c>
      <c r="C353" s="20" t="n">
        <v>0.1</v>
      </c>
      <c r="D353" s="9" t="inlineStr">
        <is>
          <t>fraction of flagged would-be churners saved</t>
        </is>
      </c>
      <c r="E353" s="9" t="inlineStr">
        <is>
          <t>mart_s_01_drivers (WP31)</t>
        </is>
      </c>
      <c r="F353" s="9" t="inlineStr">
        <is>
          <t>Industry-typical outbound-save-rate range (brief-stated 10-30%); applied to monthly-plan churn only (D-18 in-period signal)</t>
        </is>
      </c>
    </row>
    <row r="354">
      <c r="A354" s="9" t="inlineStr">
        <is>
          <t>S-050</t>
        </is>
      </c>
      <c r="B354" s="9" t="inlineStr">
        <is>
          <t>strategy_2_annual_migration | B2C | monthly | base | conversion_rate_monthly</t>
        </is>
      </c>
      <c r="C354" s="20" t="n">
        <v>0.04</v>
      </c>
      <c r="D354" s="9" t="inlineStr">
        <is>
          <t>fraction/month of retained monthly base</t>
        </is>
      </c>
      <c r="E354" s="9" t="inlineStr">
        <is>
          <t>mart_s_01_drivers (WP31)</t>
        </is>
      </c>
      <c r="F354" s="9" t="inlineStr">
        <is>
          <t>Assumed offer take-up range (no direct data); ARPA drops 49-&gt;33.25 on conversion, churn drops to the annual monthly-equivalent rate</t>
        </is>
      </c>
    </row>
    <row r="355">
      <c r="A355" s="9" t="inlineStr">
        <is>
          <t>S-051</t>
        </is>
      </c>
      <c r="B355" s="9" t="inlineStr">
        <is>
          <t>strategy_2_annual_migration | B2C | monthly | high | conversion_rate_monthly</t>
        </is>
      </c>
      <c r="C355" s="20" t="n">
        <v>0.06</v>
      </c>
      <c r="D355" s="9" t="inlineStr">
        <is>
          <t>fraction/month of retained monthly base</t>
        </is>
      </c>
      <c r="E355" s="9" t="inlineStr">
        <is>
          <t>mart_s_01_drivers (WP31)</t>
        </is>
      </c>
      <c r="F355" s="9" t="inlineStr">
        <is>
          <t>Assumed offer take-up range (no direct data); ARPA drops 49-&gt;33.25 on conversion, churn drops to the annual monthly-equivalent rate</t>
        </is>
      </c>
    </row>
    <row r="356">
      <c r="A356" s="9" t="inlineStr">
        <is>
          <t>S-052</t>
        </is>
      </c>
      <c r="B356" s="9" t="inlineStr">
        <is>
          <t>strategy_2_annual_migration | B2C | monthly | low | conversion_rate_monthly</t>
        </is>
      </c>
      <c r="C356" s="20" t="n">
        <v>0.02</v>
      </c>
      <c r="D356" s="9" t="inlineStr">
        <is>
          <t>fraction/month of retained monthly base</t>
        </is>
      </c>
      <c r="E356" s="9" t="inlineStr">
        <is>
          <t>mart_s_01_drivers (WP31)</t>
        </is>
      </c>
      <c r="F356" s="9" t="inlineStr">
        <is>
          <t>Assumed offer take-up range (no direct data); ARPA drops 49-&gt;33.25 on conversion, churn drops to the annual monthly-equivalent rate</t>
        </is>
      </c>
    </row>
    <row r="357">
      <c r="A357" s="9" t="inlineStr">
        <is>
          <t>S-053</t>
        </is>
      </c>
      <c r="B357" s="9" t="inlineStr">
        <is>
          <t>strategy_3_b2b_playbook | Enterprise | ALL | base | contraction_reduction</t>
        </is>
      </c>
      <c r="C357" s="20" t="n">
        <v>0.5</v>
      </c>
      <c r="D357" s="9" t="inlineStr">
        <is>
          <t>relative % of observed Enterprise contraction rate</t>
        </is>
      </c>
      <c r="E357" s="9" t="inlineStr">
        <is>
          <t>mart_s_01_drivers (WP31)</t>
        </is>
      </c>
      <c r="F357" s="9" t="inlineStr">
        <is>
          <t>2nd-renewal save motion targeting WP22's identified Enterprise contraction window</t>
        </is>
      </c>
    </row>
    <row r="358">
      <c r="A358" s="9" t="inlineStr">
        <is>
          <t>S-054</t>
        </is>
      </c>
      <c r="B358" s="9" t="inlineStr">
        <is>
          <t>strategy_3_b2b_playbook | Enterprise | ALL | high | contraction_reduction</t>
        </is>
      </c>
      <c r="C358" s="20" t="n">
        <v>0.7</v>
      </c>
      <c r="D358" s="9" t="inlineStr">
        <is>
          <t>relative % of observed Enterprise contraction rate</t>
        </is>
      </c>
      <c r="E358" s="9" t="inlineStr">
        <is>
          <t>mart_s_01_drivers (WP31)</t>
        </is>
      </c>
      <c r="F358" s="9" t="inlineStr">
        <is>
          <t>2nd-renewal save motion targeting WP22's identified Enterprise contraction window</t>
        </is>
      </c>
    </row>
    <row r="359">
      <c r="A359" s="9" t="inlineStr">
        <is>
          <t>S-055</t>
        </is>
      </c>
      <c r="B359" s="9" t="inlineStr">
        <is>
          <t>strategy_3_b2b_playbook | Enterprise | ALL | low | contraction_reduction</t>
        </is>
      </c>
      <c r="C359" s="20" t="n">
        <v>0.3</v>
      </c>
      <c r="D359" s="9" t="inlineStr">
        <is>
          <t>relative % of observed Enterprise contraction rate</t>
        </is>
      </c>
      <c r="E359" s="9" t="inlineStr">
        <is>
          <t>mart_s_01_drivers (WP31)</t>
        </is>
      </c>
      <c r="F359" s="9" t="inlineStr">
        <is>
          <t>2nd-renewal save motion targeting WP22's identified Enterprise contraction window</t>
        </is>
      </c>
    </row>
    <row r="360">
      <c r="A360" s="9" t="inlineStr">
        <is>
          <t>S-056</t>
        </is>
      </c>
      <c r="B360" s="9" t="inlineStr">
        <is>
          <t>strategy_3_b2b_playbook | SMB | ALL | base | expansion_uplift</t>
        </is>
      </c>
      <c r="C360" s="20" t="n">
        <v>0.4</v>
      </c>
      <c r="D360" s="9" t="inlineStr">
        <is>
          <t>relative % of observed SMB expansion rate</t>
        </is>
      </c>
      <c r="E360" s="9" t="inlineStr">
        <is>
          <t>mart_s_01_drivers (WP31)</t>
        </is>
      </c>
      <c r="F360" s="9" t="inlineStr">
        <is>
          <t>QBR / seat-expansion motion; range reflects the observed 129-event SMB expansion base (WP22)</t>
        </is>
      </c>
    </row>
    <row r="361">
      <c r="A361" s="9" t="inlineStr">
        <is>
          <t>S-057</t>
        </is>
      </c>
      <c r="B361" s="9" t="inlineStr">
        <is>
          <t>strategy_3_b2b_playbook | SMB | ALL | high | expansion_uplift</t>
        </is>
      </c>
      <c r="C361" s="20" t="n">
        <v>0.6</v>
      </c>
      <c r="D361" s="9" t="inlineStr">
        <is>
          <t>relative % of observed SMB expansion rate</t>
        </is>
      </c>
      <c r="E361" s="9" t="inlineStr">
        <is>
          <t>mart_s_01_drivers (WP31)</t>
        </is>
      </c>
      <c r="F361" s="9" t="inlineStr">
        <is>
          <t>QBR / seat-expansion motion; range reflects the observed 129-event SMB expansion base (WP22)</t>
        </is>
      </c>
    </row>
    <row r="362">
      <c r="A362" s="9" t="inlineStr">
        <is>
          <t>S-058</t>
        </is>
      </c>
      <c r="B362" s="9" t="inlineStr">
        <is>
          <t>strategy_3_b2b_playbook | SMB | ALL | low | expansion_uplift</t>
        </is>
      </c>
      <c r="C362" s="20" t="n">
        <v>0.2</v>
      </c>
      <c r="D362" s="9" t="inlineStr">
        <is>
          <t>relative % of observed SMB expansion rate</t>
        </is>
      </c>
      <c r="E362" s="9" t="inlineStr">
        <is>
          <t>mart_s_01_drivers (WP31)</t>
        </is>
      </c>
      <c r="F362" s="9" t="inlineStr">
        <is>
          <t>QBR / seat-expansion motion; range reflects the observed 129-event SMB expansion base (WP22)</t>
        </is>
      </c>
    </row>
  </sheetData>
  <mergeCells count="3">
    <mergeCell ref="A2:G2"/>
    <mergeCell ref="A1:G1"/>
    <mergeCell ref="A47:G47"/>
  </mergeCells>
  <dataValidations count="2">
    <dataValidation sqref="B6" showDropDown="0" showInputMessage="0" showErrorMessage="0" allowBlank="0" type="list">
      <formula1>"Base,Bull,Bear"</formula1>
    </dataValidation>
    <dataValidation sqref="B7" showDropDown="0" showInputMessage="0" showErrorMessage="0" allowBlank="0" type="list">
      <formula1>"T6M avg,Apr-24 run-rate"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5" customWidth="1" min="9" max="9"/>
    <col width="12" customWidth="1" min="10" max="10"/>
  </cols>
  <sheetData>
    <row r="1">
      <c r="A1" s="1" t="inlineStr">
        <is>
          <t>Data_MRR</t>
        </is>
      </c>
    </row>
    <row r="2">
      <c r="A2" s="2" t="inlineStr">
        <is>
          <t>Source: mart_mrr_bridge.sql (verbatim export). Monthly MRR bridge by segment, Jan-23..Apr-24: opening -&gt; +new +expansion -contraction -churn -&gt; closing, plus active customers. Blank expansion/contraction/churn cells = $0 (no movement of that type that month) -- treated as 0 in all downstream formulas.</t>
        </is>
      </c>
    </row>
    <row r="4">
      <c r="A4" s="6" t="inlineStr">
        <is>
          <t>month_end</t>
        </is>
      </c>
      <c r="B4" s="6" t="inlineStr">
        <is>
          <t>segment</t>
        </is>
      </c>
      <c r="C4" s="6" t="inlineStr">
        <is>
          <t>opening_mrr</t>
        </is>
      </c>
      <c r="D4" s="6" t="inlineStr">
        <is>
          <t>new_mrr</t>
        </is>
      </c>
      <c r="E4" s="6" t="inlineStr">
        <is>
          <t>expansion_mrr</t>
        </is>
      </c>
      <c r="F4" s="6" t="inlineStr">
        <is>
          <t>contraction_mrr</t>
        </is>
      </c>
      <c r="G4" s="6" t="inlineStr">
        <is>
          <t>churn_mrr</t>
        </is>
      </c>
      <c r="H4" s="6" t="inlineStr">
        <is>
          <t>closing_mrr</t>
        </is>
      </c>
      <c r="I4" s="6" t="inlineStr">
        <is>
          <t>active_customers</t>
        </is>
      </c>
      <c r="J4" s="6" t="inlineStr">
        <is>
          <t>bridge_check (opening+new+exp-contr-churn=closing)</t>
        </is>
      </c>
    </row>
    <row r="5">
      <c r="A5" s="10" t="n">
        <v>44957</v>
      </c>
      <c r="B5" s="9" t="inlineStr">
        <is>
          <t>B2B</t>
        </is>
      </c>
      <c r="C5" s="14" t="n">
        <v>0</v>
      </c>
      <c r="D5" s="14" t="n">
        <v>3195.6</v>
      </c>
      <c r="H5" s="14" t="n">
        <v>3195.6</v>
      </c>
      <c r="I5" s="12" t="n">
        <v>11</v>
      </c>
      <c r="J5" s="5">
        <f>ROUND(IFERROR(C5,0)+IFERROR(D5,0)+IFERROR(E5,0)-IFERROR(F5,0)-IFERROR(G5,0)-IFERROR(H5,0),2)=0</f>
        <v/>
      </c>
    </row>
    <row r="6">
      <c r="A6" s="10" t="n">
        <v>44985</v>
      </c>
      <c r="B6" s="9" t="inlineStr">
        <is>
          <t>B2B</t>
        </is>
      </c>
      <c r="C6" s="14" t="n">
        <v>3195.6</v>
      </c>
      <c r="D6" s="14" t="n">
        <v>4260.120000000001</v>
      </c>
      <c r="E6" s="14" t="n">
        <v>54.50999999999999</v>
      </c>
      <c r="F6" s="14" t="n">
        <v>39.28</v>
      </c>
      <c r="H6" s="14" t="n">
        <v>7470.950000000001</v>
      </c>
      <c r="I6" s="12" t="n">
        <v>28</v>
      </c>
      <c r="J6" s="5">
        <f>ROUND(IFERROR(C6,0)+IFERROR(D6,0)+IFERROR(E6,0)-IFERROR(F6,0)-IFERROR(G6,0)-IFERROR(H6,0),2)=0</f>
        <v/>
      </c>
    </row>
    <row r="7">
      <c r="A7" s="10" t="n">
        <v>45016</v>
      </c>
      <c r="B7" s="9" t="inlineStr">
        <is>
          <t>B2B</t>
        </is>
      </c>
      <c r="C7" s="14" t="n">
        <v>7470.950000000001</v>
      </c>
      <c r="D7" s="14" t="n">
        <v>7130.440000000001</v>
      </c>
      <c r="H7" s="14" t="n">
        <v>14601.39</v>
      </c>
      <c r="I7" s="12" t="n">
        <v>49</v>
      </c>
      <c r="J7" s="5">
        <f>ROUND(IFERROR(C7,0)+IFERROR(D7,0)+IFERROR(E7,0)-IFERROR(F7,0)-IFERROR(G7,0)-IFERROR(H7,0),2)=0</f>
        <v/>
      </c>
    </row>
    <row r="8">
      <c r="A8" s="10" t="n">
        <v>45046</v>
      </c>
      <c r="B8" s="9" t="inlineStr">
        <is>
          <t>B2B</t>
        </is>
      </c>
      <c r="C8" s="14" t="n">
        <v>14601.39</v>
      </c>
      <c r="D8" s="14" t="n">
        <v>5855.68</v>
      </c>
      <c r="E8" s="14" t="n">
        <v>66.38999999999999</v>
      </c>
      <c r="F8" s="14" t="n">
        <v>32.91999999999999</v>
      </c>
      <c r="G8" s="14" t="n">
        <v>1189</v>
      </c>
      <c r="H8" s="14" t="n">
        <v>19301.54</v>
      </c>
      <c r="I8" s="12" t="n">
        <v>64</v>
      </c>
      <c r="J8" s="5">
        <f>ROUND(IFERROR(C8,0)+IFERROR(D8,0)+IFERROR(E8,0)-IFERROR(F8,0)-IFERROR(G8,0)-IFERROR(H8,0),2)=0</f>
        <v/>
      </c>
    </row>
    <row r="9">
      <c r="A9" s="10" t="n">
        <v>45077</v>
      </c>
      <c r="B9" s="9" t="inlineStr">
        <is>
          <t>B2B</t>
        </is>
      </c>
      <c r="C9" s="14" t="n">
        <v>19301.54</v>
      </c>
      <c r="D9" s="14" t="n">
        <v>9365.040000000001</v>
      </c>
      <c r="E9" s="14" t="n">
        <v>158.72</v>
      </c>
      <c r="G9" s="14" t="n">
        <v>231.72</v>
      </c>
      <c r="H9" s="14" t="n">
        <v>28593.57999999997</v>
      </c>
      <c r="I9" s="12" t="n">
        <v>91</v>
      </c>
      <c r="J9" s="5">
        <f>ROUND(IFERROR(C9,0)+IFERROR(D9,0)+IFERROR(E9,0)-IFERROR(F9,0)-IFERROR(G9,0)-IFERROR(H9,0),2)=0</f>
        <v/>
      </c>
    </row>
    <row r="10">
      <c r="A10" s="10" t="n">
        <v>45107</v>
      </c>
      <c r="B10" s="9" t="inlineStr">
        <is>
          <t>B2B</t>
        </is>
      </c>
      <c r="C10" s="14" t="n">
        <v>28593.57999999997</v>
      </c>
      <c r="D10" s="14" t="n">
        <v>7561.280000000001</v>
      </c>
      <c r="E10" s="14" t="n">
        <v>127.71</v>
      </c>
      <c r="F10" s="14" t="n">
        <v>47.5</v>
      </c>
      <c r="G10" s="14" t="n">
        <v>2378</v>
      </c>
      <c r="H10" s="14" t="n">
        <v>33857.06999999995</v>
      </c>
      <c r="I10" s="12" t="n">
        <v>109</v>
      </c>
      <c r="J10" s="5">
        <f>ROUND(IFERROR(C10,0)+IFERROR(D10,0)+IFERROR(E10,0)-IFERROR(F10,0)-IFERROR(G10,0)-IFERROR(H10,0),2)=0</f>
        <v/>
      </c>
    </row>
    <row r="11">
      <c r="A11" s="10" t="n">
        <v>45138</v>
      </c>
      <c r="B11" s="9" t="inlineStr">
        <is>
          <t>B2B</t>
        </is>
      </c>
      <c r="C11" s="14" t="n">
        <v>33857.06999999995</v>
      </c>
      <c r="D11" s="14" t="n">
        <v>9561.360000000001</v>
      </c>
      <c r="E11" s="14" t="n">
        <v>106.1499999999999</v>
      </c>
      <c r="F11" s="14" t="n">
        <v>220.44</v>
      </c>
      <c r="G11" s="14" t="n">
        <v>396.93</v>
      </c>
      <c r="H11" s="14" t="n">
        <v>42907.20999999994</v>
      </c>
      <c r="I11" s="12" t="n">
        <v>135</v>
      </c>
      <c r="J11" s="5">
        <f>ROUND(IFERROR(C11,0)+IFERROR(D11,0)+IFERROR(E11,0)-IFERROR(F11,0)-IFERROR(G11,0)-IFERROR(H11,0),2)=0</f>
        <v/>
      </c>
    </row>
    <row r="12">
      <c r="A12" s="10" t="n">
        <v>45169</v>
      </c>
      <c r="B12" s="9" t="inlineStr">
        <is>
          <t>B2B</t>
        </is>
      </c>
      <c r="C12" s="14" t="n">
        <v>42907.20999999994</v>
      </c>
      <c r="D12" s="14" t="n">
        <v>7978.200000000001</v>
      </c>
      <c r="E12" s="14" t="n">
        <v>394.1099999999999</v>
      </c>
      <c r="F12" s="14" t="n">
        <v>83.57999999999998</v>
      </c>
      <c r="G12" s="14" t="n">
        <v>995</v>
      </c>
      <c r="H12" s="14" t="n">
        <v>50200.93999999994</v>
      </c>
      <c r="I12" s="12" t="n">
        <v>156</v>
      </c>
      <c r="J12" s="5">
        <f>ROUND(IFERROR(C12,0)+IFERROR(D12,0)+IFERROR(E12,0)-IFERROR(F12,0)-IFERROR(G12,0)-IFERROR(H12,0),2)=0</f>
        <v/>
      </c>
    </row>
    <row r="13">
      <c r="A13" s="10" t="n">
        <v>45199</v>
      </c>
      <c r="B13" s="9" t="inlineStr">
        <is>
          <t>B2B</t>
        </is>
      </c>
      <c r="C13" s="14" t="n">
        <v>50200.93999999994</v>
      </c>
      <c r="D13" s="14" t="n">
        <v>9780.800000000001</v>
      </c>
      <c r="E13" s="14" t="n">
        <v>694.3</v>
      </c>
      <c r="F13" s="14" t="n">
        <v>64.87</v>
      </c>
      <c r="G13" s="14" t="n">
        <v>325.85</v>
      </c>
      <c r="H13" s="14" t="n">
        <v>60285.31999999989</v>
      </c>
      <c r="I13" s="12" t="n">
        <v>184</v>
      </c>
      <c r="J13" s="5">
        <f>ROUND(IFERROR(C13,0)+IFERROR(D13,0)+IFERROR(E13,0)-IFERROR(F13,0)-IFERROR(G13,0)-IFERROR(H13,0),2)=0</f>
        <v/>
      </c>
    </row>
    <row r="14">
      <c r="A14" s="10" t="n">
        <v>45230</v>
      </c>
      <c r="B14" s="9" t="inlineStr">
        <is>
          <t>B2B</t>
        </is>
      </c>
      <c r="C14" s="14" t="n">
        <v>60285.31999999989</v>
      </c>
      <c r="D14" s="14" t="n">
        <v>9679.960000000001</v>
      </c>
      <c r="E14" s="14" t="n">
        <v>247.7500000000001</v>
      </c>
      <c r="F14" s="14" t="n">
        <v>75.19999999999999</v>
      </c>
      <c r="G14" s="14" t="n">
        <v>1297.78</v>
      </c>
      <c r="H14" s="14" t="n">
        <v>68840.04999999986</v>
      </c>
      <c r="I14" s="12" t="n">
        <v>207</v>
      </c>
      <c r="J14" s="5">
        <f>ROUND(IFERROR(C14,0)+IFERROR(D14,0)+IFERROR(E14,0)-IFERROR(F14,0)-IFERROR(G14,0)-IFERROR(H14,0),2)=0</f>
        <v/>
      </c>
    </row>
    <row r="15">
      <c r="A15" s="10" t="n">
        <v>45260</v>
      </c>
      <c r="B15" s="9" t="inlineStr">
        <is>
          <t>B2B</t>
        </is>
      </c>
      <c r="C15" s="14" t="n">
        <v>68840.04999999986</v>
      </c>
      <c r="D15" s="14" t="n">
        <v>11991.12</v>
      </c>
      <c r="E15" s="14" t="n">
        <v>323.42</v>
      </c>
      <c r="F15" s="14" t="n">
        <v>32.50999999999999</v>
      </c>
      <c r="G15" s="14" t="n">
        <v>619.75</v>
      </c>
      <c r="H15" s="14" t="n">
        <v>80502.32999999984</v>
      </c>
      <c r="I15" s="12" t="n">
        <v>237</v>
      </c>
      <c r="J15" s="5">
        <f>ROUND(IFERROR(C15,0)+IFERROR(D15,0)+IFERROR(E15,0)-IFERROR(F15,0)-IFERROR(G15,0)-IFERROR(H15,0),2)=0</f>
        <v/>
      </c>
    </row>
    <row r="16">
      <c r="A16" s="10" t="n">
        <v>45291</v>
      </c>
      <c r="B16" s="9" t="inlineStr">
        <is>
          <t>B2B</t>
        </is>
      </c>
      <c r="C16" s="14" t="n">
        <v>80502.32999999984</v>
      </c>
      <c r="D16" s="14" t="n">
        <v>12984.96</v>
      </c>
      <c r="E16" s="14" t="n">
        <v>490.8100000000001</v>
      </c>
      <c r="F16" s="14" t="n">
        <v>39.06</v>
      </c>
      <c r="G16" s="14" t="n">
        <v>3422.57</v>
      </c>
      <c r="H16" s="14" t="n">
        <v>90516.46999999983</v>
      </c>
      <c r="I16" s="12" t="n">
        <v>261</v>
      </c>
      <c r="J16" s="5">
        <f>ROUND(IFERROR(C16,0)+IFERROR(D16,0)+IFERROR(E16,0)-IFERROR(F16,0)-IFERROR(G16,0)-IFERROR(H16,0),2)=0</f>
        <v/>
      </c>
    </row>
    <row r="17">
      <c r="A17" s="10" t="n">
        <v>45322</v>
      </c>
      <c r="B17" s="9" t="inlineStr">
        <is>
          <t>B2B</t>
        </is>
      </c>
      <c r="C17" s="14" t="n">
        <v>90516.46999999983</v>
      </c>
      <c r="D17" s="14" t="n">
        <v>13236.88</v>
      </c>
      <c r="E17" s="14" t="n">
        <v>562.9200000000001</v>
      </c>
      <c r="F17" s="14" t="n">
        <v>241.3900000000001</v>
      </c>
      <c r="G17" s="14" t="n">
        <v>1459.44</v>
      </c>
      <c r="H17" s="14" t="n">
        <v>102615.4399999998</v>
      </c>
      <c r="I17" s="12" t="n">
        <v>294</v>
      </c>
      <c r="J17" s="5">
        <f>ROUND(IFERROR(C17,0)+IFERROR(D17,0)+IFERROR(E17,0)-IFERROR(F17,0)-IFERROR(G17,0)-IFERROR(H17,0),2)=0</f>
        <v/>
      </c>
    </row>
    <row r="18">
      <c r="A18" s="10" t="n">
        <v>45351</v>
      </c>
      <c r="B18" s="9" t="inlineStr">
        <is>
          <t>B2B</t>
        </is>
      </c>
      <c r="C18" s="14" t="n">
        <v>102615.4399999998</v>
      </c>
      <c r="D18" s="14" t="n">
        <v>14049.48</v>
      </c>
      <c r="E18" s="14" t="n">
        <v>678.6899999999999</v>
      </c>
      <c r="F18" s="14" t="n">
        <v>296.23</v>
      </c>
      <c r="G18" s="14" t="n">
        <v>2142.42</v>
      </c>
      <c r="H18" s="14" t="n">
        <v>114904.9599999997</v>
      </c>
      <c r="I18" s="12" t="n">
        <v>331</v>
      </c>
      <c r="J18" s="5">
        <f>ROUND(IFERROR(C18,0)+IFERROR(D18,0)+IFERROR(E18,0)-IFERROR(F18,0)-IFERROR(G18,0)-IFERROR(H18,0),2)=0</f>
        <v/>
      </c>
    </row>
    <row r="19">
      <c r="A19" s="10" t="n">
        <v>45382</v>
      </c>
      <c r="B19" s="9" t="inlineStr">
        <is>
          <t>B2B</t>
        </is>
      </c>
      <c r="C19" s="14" t="n">
        <v>114904.9599999997</v>
      </c>
      <c r="D19" s="14" t="n">
        <v>14627.56</v>
      </c>
      <c r="E19" s="14" t="n">
        <v>390.3899999999999</v>
      </c>
      <c r="F19" s="14" t="n">
        <v>50.82000000000002</v>
      </c>
      <c r="G19" s="14" t="n">
        <v>1936.28</v>
      </c>
      <c r="H19" s="14" t="n">
        <v>127935.8099999997</v>
      </c>
      <c r="I19" s="12" t="n">
        <v>368</v>
      </c>
      <c r="J19" s="5">
        <f>ROUND(IFERROR(C19,0)+IFERROR(D19,0)+IFERROR(E19,0)-IFERROR(F19,0)-IFERROR(G19,0)-IFERROR(H19,0),2)=0</f>
        <v/>
      </c>
    </row>
    <row r="20">
      <c r="A20" s="10" t="n">
        <v>45412</v>
      </c>
      <c r="B20" s="9" t="inlineStr">
        <is>
          <t>B2B</t>
        </is>
      </c>
      <c r="C20" s="14" t="n">
        <v>127935.8099999997</v>
      </c>
      <c r="D20" s="14" t="n">
        <v>13902.24</v>
      </c>
      <c r="E20" s="14" t="n">
        <v>697.9299999999999</v>
      </c>
      <c r="F20" s="14" t="n">
        <v>112</v>
      </c>
      <c r="G20" s="14" t="n">
        <v>2079.89</v>
      </c>
      <c r="H20" s="14" t="n">
        <v>140344.0899999998</v>
      </c>
      <c r="I20" s="12" t="n">
        <v>405</v>
      </c>
      <c r="J20" s="5">
        <f>ROUND(IFERROR(C20,0)+IFERROR(D20,0)+IFERROR(E20,0)-IFERROR(F20,0)-IFERROR(G20,0)-IFERROR(H20,0),2)=0</f>
        <v/>
      </c>
    </row>
    <row r="21">
      <c r="A21" s="10" t="n">
        <v>44957</v>
      </c>
      <c r="B21" s="9" t="inlineStr">
        <is>
          <t>B2C</t>
        </is>
      </c>
      <c r="C21" s="14" t="n">
        <v>0</v>
      </c>
      <c r="D21" s="14" t="n">
        <v>3969</v>
      </c>
      <c r="H21" s="14" t="n">
        <v>3969</v>
      </c>
      <c r="I21" s="12" t="n">
        <v>90</v>
      </c>
      <c r="J21" s="5">
        <f>ROUND(IFERROR(C21,0)+IFERROR(D21,0)+IFERROR(E21,0)-IFERROR(F21,0)-IFERROR(G21,0)-IFERROR(H21,0),2)=0</f>
        <v/>
      </c>
    </row>
    <row r="22">
      <c r="A22" s="10" t="n">
        <v>44985</v>
      </c>
      <c r="B22" s="9" t="inlineStr">
        <is>
          <t>B2C</t>
        </is>
      </c>
      <c r="C22" s="14" t="n">
        <v>3969</v>
      </c>
      <c r="D22" s="14" t="n">
        <v>3739.75</v>
      </c>
      <c r="G22" s="14" t="n">
        <v>392</v>
      </c>
      <c r="H22" s="14" t="n">
        <v>7316.75</v>
      </c>
      <c r="I22" s="12" t="n">
        <v>167</v>
      </c>
      <c r="J22" s="5">
        <f>ROUND(IFERROR(C22,0)+IFERROR(D22,0)+IFERROR(E22,0)-IFERROR(F22,0)-IFERROR(G22,0)-IFERROR(H22,0),2)=0</f>
        <v/>
      </c>
    </row>
    <row r="23">
      <c r="A23" s="10" t="n">
        <v>45016</v>
      </c>
      <c r="B23" s="9" t="inlineStr">
        <is>
          <t>B2C</t>
        </is>
      </c>
      <c r="C23" s="14" t="n">
        <v>7316.75</v>
      </c>
      <c r="D23" s="14" t="n">
        <v>4588.5</v>
      </c>
      <c r="G23" s="14" t="n">
        <v>343</v>
      </c>
      <c r="H23" s="14" t="n">
        <v>11562.25</v>
      </c>
      <c r="I23" s="12" t="n">
        <v>262</v>
      </c>
      <c r="J23" s="5">
        <f>ROUND(IFERROR(C23,0)+IFERROR(D23,0)+IFERROR(E23,0)-IFERROR(F23,0)-IFERROR(G23,0)-IFERROR(H23,0),2)=0</f>
        <v/>
      </c>
    </row>
    <row r="24">
      <c r="A24" s="10" t="n">
        <v>45046</v>
      </c>
      <c r="B24" s="9" t="inlineStr">
        <is>
          <t>B2C</t>
        </is>
      </c>
      <c r="C24" s="14" t="n">
        <v>11562.25</v>
      </c>
      <c r="D24" s="14" t="n">
        <v>4740.75</v>
      </c>
      <c r="G24" s="14" t="n">
        <v>833</v>
      </c>
      <c r="H24" s="14" t="n">
        <v>15470</v>
      </c>
      <c r="I24" s="12" t="n">
        <v>353</v>
      </c>
      <c r="J24" s="5">
        <f>ROUND(IFERROR(C24,0)+IFERROR(D24,0)+IFERROR(E24,0)-IFERROR(F24,0)-IFERROR(G24,0)-IFERROR(H24,0),2)=0</f>
        <v/>
      </c>
    </row>
    <row r="25">
      <c r="A25" s="10" t="n">
        <v>45077</v>
      </c>
      <c r="B25" s="9" t="inlineStr">
        <is>
          <t>B2C</t>
        </is>
      </c>
      <c r="C25" s="14" t="n">
        <v>15470</v>
      </c>
      <c r="D25" s="14" t="n">
        <v>4611.25</v>
      </c>
      <c r="G25" s="14" t="n">
        <v>1176</v>
      </c>
      <c r="H25" s="14" t="n">
        <v>18905.25</v>
      </c>
      <c r="I25" s="12" t="n">
        <v>435</v>
      </c>
      <c r="J25" s="5">
        <f>ROUND(IFERROR(C25,0)+IFERROR(D25,0)+IFERROR(E25,0)-IFERROR(F25,0)-IFERROR(G25,0)-IFERROR(H25,0),2)=0</f>
        <v/>
      </c>
    </row>
    <row r="26">
      <c r="A26" s="10" t="n">
        <v>45107</v>
      </c>
      <c r="B26" s="9" t="inlineStr">
        <is>
          <t>B2C</t>
        </is>
      </c>
      <c r="C26" s="14" t="n">
        <v>18905.25</v>
      </c>
      <c r="D26" s="14" t="n">
        <v>5544</v>
      </c>
      <c r="G26" s="14" t="n">
        <v>1617</v>
      </c>
      <c r="H26" s="14" t="n">
        <v>22832.25</v>
      </c>
      <c r="I26" s="12" t="n">
        <v>528</v>
      </c>
      <c r="J26" s="5">
        <f>ROUND(IFERROR(C26,0)+IFERROR(D26,0)+IFERROR(E26,0)-IFERROR(F26,0)-IFERROR(G26,0)-IFERROR(H26,0),2)=0</f>
        <v/>
      </c>
    </row>
    <row r="27">
      <c r="A27" s="10" t="n">
        <v>45138</v>
      </c>
      <c r="B27" s="9" t="inlineStr">
        <is>
          <t>B2C</t>
        </is>
      </c>
      <c r="C27" s="14" t="n">
        <v>22832.25</v>
      </c>
      <c r="D27" s="14" t="n">
        <v>5372.5</v>
      </c>
      <c r="G27" s="14" t="n">
        <v>1078</v>
      </c>
      <c r="H27" s="14" t="n">
        <v>27126.75</v>
      </c>
      <c r="I27" s="12" t="n">
        <v>624</v>
      </c>
      <c r="J27" s="5">
        <f>ROUND(IFERROR(C27,0)+IFERROR(D27,0)+IFERROR(E27,0)-IFERROR(F27,0)-IFERROR(G27,0)-IFERROR(H27,0),2)=0</f>
        <v/>
      </c>
    </row>
    <row r="28">
      <c r="A28" s="10" t="n">
        <v>45169</v>
      </c>
      <c r="B28" s="9" t="inlineStr">
        <is>
          <t>B2C</t>
        </is>
      </c>
      <c r="C28" s="14" t="n">
        <v>27126.75</v>
      </c>
      <c r="D28" s="14" t="n">
        <v>5836.25</v>
      </c>
      <c r="G28" s="14" t="n">
        <v>1911</v>
      </c>
      <c r="H28" s="14" t="n">
        <v>31052</v>
      </c>
      <c r="I28" s="12" t="n">
        <v>716</v>
      </c>
      <c r="J28" s="5">
        <f>ROUND(IFERROR(C28,0)+IFERROR(D28,0)+IFERROR(E28,0)-IFERROR(F28,0)-IFERROR(G28,0)-IFERROR(H28,0),2)=0</f>
        <v/>
      </c>
    </row>
    <row r="29">
      <c r="A29" s="10" t="n">
        <v>45199</v>
      </c>
      <c r="B29" s="9" t="inlineStr">
        <is>
          <t>B2C</t>
        </is>
      </c>
      <c r="C29" s="14" t="n">
        <v>31052</v>
      </c>
      <c r="D29" s="14" t="n">
        <v>6443.5</v>
      </c>
      <c r="G29" s="14" t="n">
        <v>2450</v>
      </c>
      <c r="H29" s="14" t="n">
        <v>35045.5</v>
      </c>
      <c r="I29" s="12" t="n">
        <v>811</v>
      </c>
      <c r="J29" s="5">
        <f>ROUND(IFERROR(C29,0)+IFERROR(D29,0)+IFERROR(E29,0)-IFERROR(F29,0)-IFERROR(G29,0)-IFERROR(H29,0),2)=0</f>
        <v/>
      </c>
    </row>
    <row r="30">
      <c r="A30" s="10" t="n">
        <v>45230</v>
      </c>
      <c r="B30" s="9" t="inlineStr">
        <is>
          <t>B2C</t>
        </is>
      </c>
      <c r="C30" s="14" t="n">
        <v>35045.5</v>
      </c>
      <c r="D30" s="14" t="n">
        <v>7071.75</v>
      </c>
      <c r="G30" s="14" t="n">
        <v>2744</v>
      </c>
      <c r="H30" s="14" t="n">
        <v>39373.25</v>
      </c>
      <c r="I30" s="12" t="n">
        <v>917</v>
      </c>
      <c r="J30" s="5">
        <f>ROUND(IFERROR(C30,0)+IFERROR(D30,0)+IFERROR(E30,0)-IFERROR(F30,0)-IFERROR(G30,0)-IFERROR(H30,0),2)=0</f>
        <v/>
      </c>
    </row>
    <row r="31">
      <c r="A31" s="10" t="n">
        <v>45260</v>
      </c>
      <c r="B31" s="9" t="inlineStr">
        <is>
          <t>B2C</t>
        </is>
      </c>
      <c r="C31" s="14" t="n">
        <v>39373.25</v>
      </c>
      <c r="D31" s="14" t="n">
        <v>6676.25</v>
      </c>
      <c r="G31" s="14" t="n">
        <v>2842</v>
      </c>
      <c r="H31" s="14" t="n">
        <v>43207.5</v>
      </c>
      <c r="I31" s="12" t="n">
        <v>1011</v>
      </c>
      <c r="J31" s="5">
        <f>ROUND(IFERROR(C31,0)+IFERROR(D31,0)+IFERROR(E31,0)-IFERROR(F31,0)-IFERROR(G31,0)-IFERROR(H31,0),2)=0</f>
        <v/>
      </c>
    </row>
    <row r="32">
      <c r="A32" s="10" t="n">
        <v>45291</v>
      </c>
      <c r="B32" s="9" t="inlineStr">
        <is>
          <t>B2C</t>
        </is>
      </c>
      <c r="C32" s="14" t="n">
        <v>43207.5</v>
      </c>
      <c r="D32" s="14" t="n">
        <v>7103.25</v>
      </c>
      <c r="G32" s="14" t="n">
        <v>3381</v>
      </c>
      <c r="H32" s="14" t="n">
        <v>46929.75</v>
      </c>
      <c r="I32" s="12" t="n">
        <v>1104</v>
      </c>
      <c r="J32" s="5">
        <f>ROUND(IFERROR(C32,0)+IFERROR(D32,0)+IFERROR(E32,0)-IFERROR(F32,0)-IFERROR(G32,0)-IFERROR(H32,0),2)=0</f>
        <v/>
      </c>
    </row>
    <row r="33">
      <c r="A33" s="10" t="n">
        <v>45322</v>
      </c>
      <c r="B33" s="9" t="inlineStr">
        <is>
          <t>B2C</t>
        </is>
      </c>
      <c r="C33" s="14" t="n">
        <v>46929.75</v>
      </c>
      <c r="D33" s="14" t="n">
        <v>7269.5</v>
      </c>
      <c r="G33" s="14" t="n">
        <v>3724</v>
      </c>
      <c r="H33" s="14" t="n">
        <v>50475.25</v>
      </c>
      <c r="I33" s="12" t="n">
        <v>1195</v>
      </c>
      <c r="J33" s="5">
        <f>ROUND(IFERROR(C33,0)+IFERROR(D33,0)+IFERROR(E33,0)-IFERROR(F33,0)-IFERROR(G33,0)-IFERROR(H33,0),2)=0</f>
        <v/>
      </c>
    </row>
    <row r="34">
      <c r="A34" s="10" t="n">
        <v>45351</v>
      </c>
      <c r="B34" s="9" t="inlineStr">
        <is>
          <t>B2C</t>
        </is>
      </c>
      <c r="C34" s="14" t="n">
        <v>50475.25</v>
      </c>
      <c r="D34" s="14" t="n">
        <v>8127</v>
      </c>
      <c r="G34" s="14" t="n">
        <v>3414.25</v>
      </c>
      <c r="H34" s="14" t="n">
        <v>55188</v>
      </c>
      <c r="I34" s="12" t="n">
        <v>1314</v>
      </c>
      <c r="J34" s="5">
        <f>ROUND(IFERROR(C34,0)+IFERROR(D34,0)+IFERROR(E34,0)-IFERROR(F34,0)-IFERROR(G34,0)-IFERROR(H34,0),2)=0</f>
        <v/>
      </c>
    </row>
    <row r="35">
      <c r="A35" s="10" t="n">
        <v>45382</v>
      </c>
      <c r="B35" s="9" t="inlineStr">
        <is>
          <t>B2C</t>
        </is>
      </c>
      <c r="C35" s="14" t="n">
        <v>55188</v>
      </c>
      <c r="D35" s="14" t="n">
        <v>8022</v>
      </c>
      <c r="G35" s="14" t="n">
        <v>3741.5</v>
      </c>
      <c r="H35" s="14" t="n">
        <v>59468.5</v>
      </c>
      <c r="I35" s="12" t="n">
        <v>1420</v>
      </c>
      <c r="J35" s="5">
        <f>ROUND(IFERROR(C35,0)+IFERROR(D35,0)+IFERROR(E35,0)-IFERROR(F35,0)-IFERROR(G35,0)-IFERROR(H35,0),2)=0</f>
        <v/>
      </c>
    </row>
    <row r="36">
      <c r="A36" s="10" t="n">
        <v>45412</v>
      </c>
      <c r="B36" s="9" t="inlineStr">
        <is>
          <t>B2C</t>
        </is>
      </c>
      <c r="C36" s="14" t="n">
        <v>59468.5</v>
      </c>
      <c r="D36" s="14" t="n">
        <v>8800.75</v>
      </c>
      <c r="G36" s="14" t="n">
        <v>3904.25</v>
      </c>
      <c r="H36" s="14" t="n">
        <v>64365</v>
      </c>
      <c r="I36" s="12" t="n">
        <v>1536</v>
      </c>
      <c r="J36" s="5">
        <f>ROUND(IFERROR(C36,0)+IFERROR(D36,0)+IFERROR(E36,0)-IFERROR(F36,0)-IFERROR(G36,0)-IFERROR(H36,0),2)=0</f>
        <v/>
      </c>
    </row>
    <row r="37">
      <c r="A37" s="10" t="n">
        <v>44957</v>
      </c>
      <c r="B37" s="9" t="inlineStr">
        <is>
          <t>Enterprise</t>
        </is>
      </c>
      <c r="C37" s="14" t="n">
        <v>0</v>
      </c>
      <c r="D37" s="14" t="n">
        <v>1650</v>
      </c>
      <c r="H37" s="14" t="n">
        <v>1650</v>
      </c>
      <c r="I37" s="12" t="n">
        <v>2</v>
      </c>
      <c r="J37" s="5">
        <f>ROUND(IFERROR(C37,0)+IFERROR(D37,0)+IFERROR(E37,0)-IFERROR(F37,0)-IFERROR(G37,0)-IFERROR(H37,0),2)=0</f>
        <v/>
      </c>
    </row>
    <row r="38">
      <c r="A38" s="10" t="n">
        <v>44985</v>
      </c>
      <c r="B38" s="9" t="inlineStr">
        <is>
          <t>Enterprise</t>
        </is>
      </c>
      <c r="C38" s="14" t="n">
        <v>1650</v>
      </c>
      <c r="D38" s="14" t="n">
        <v>1815</v>
      </c>
      <c r="H38" s="14" t="n">
        <v>3465</v>
      </c>
      <c r="I38" s="12" t="n">
        <v>4</v>
      </c>
      <c r="J38" s="5">
        <f>ROUND(IFERROR(C38,0)+IFERROR(D38,0)+IFERROR(E38,0)-IFERROR(F38,0)-IFERROR(G38,0)-IFERROR(H38,0),2)=0</f>
        <v/>
      </c>
    </row>
    <row r="39">
      <c r="A39" s="10" t="n">
        <v>45016</v>
      </c>
      <c r="B39" s="9" t="inlineStr">
        <is>
          <t>Enterprise</t>
        </is>
      </c>
      <c r="C39" s="14" t="n">
        <v>3465</v>
      </c>
      <c r="D39" s="14" t="n">
        <v>4290</v>
      </c>
      <c r="H39" s="14" t="n">
        <v>7755</v>
      </c>
      <c r="I39" s="12" t="n">
        <v>9</v>
      </c>
      <c r="J39" s="5">
        <f>ROUND(IFERROR(C39,0)+IFERROR(D39,0)+IFERROR(E39,0)-IFERROR(F39,0)-IFERROR(G39,0)-IFERROR(H39,0),2)=0</f>
        <v/>
      </c>
    </row>
    <row r="40">
      <c r="A40" s="10" t="n">
        <v>45046</v>
      </c>
      <c r="B40" s="9" t="inlineStr">
        <is>
          <t>Enterprise</t>
        </is>
      </c>
      <c r="C40" s="14" t="n">
        <v>7755</v>
      </c>
      <c r="D40" s="14" t="n">
        <v>3465</v>
      </c>
      <c r="G40" s="14" t="n">
        <v>990</v>
      </c>
      <c r="H40" s="14" t="n">
        <v>10230</v>
      </c>
      <c r="I40" s="12" t="n">
        <v>12</v>
      </c>
      <c r="J40" s="5">
        <f>ROUND(IFERROR(C40,0)+IFERROR(D40,0)+IFERROR(E40,0)-IFERROR(F40,0)-IFERROR(G40,0)-IFERROR(H40,0),2)=0</f>
        <v/>
      </c>
    </row>
    <row r="41">
      <c r="A41" s="10" t="n">
        <v>45077</v>
      </c>
      <c r="B41" s="9" t="inlineStr">
        <is>
          <t>Enterprise</t>
        </is>
      </c>
      <c r="C41" s="14" t="n">
        <v>10230</v>
      </c>
      <c r="D41" s="14" t="n">
        <v>5775</v>
      </c>
      <c r="H41" s="14" t="n">
        <v>16005</v>
      </c>
      <c r="I41" s="12" t="n">
        <v>19</v>
      </c>
      <c r="J41" s="5">
        <f>ROUND(IFERROR(C41,0)+IFERROR(D41,0)+IFERROR(E41,0)-IFERROR(F41,0)-IFERROR(G41,0)-IFERROR(H41,0),2)=0</f>
        <v/>
      </c>
    </row>
    <row r="42">
      <c r="A42" s="10" t="n">
        <v>45107</v>
      </c>
      <c r="B42" s="9" t="inlineStr">
        <is>
          <t>Enterprise</t>
        </is>
      </c>
      <c r="C42" s="14" t="n">
        <v>16005</v>
      </c>
      <c r="D42" s="14" t="n">
        <v>4620</v>
      </c>
      <c r="G42" s="14" t="n">
        <v>1980</v>
      </c>
      <c r="H42" s="14" t="n">
        <v>18645</v>
      </c>
      <c r="I42" s="12" t="n">
        <v>22</v>
      </c>
      <c r="J42" s="5">
        <f>ROUND(IFERROR(C42,0)+IFERROR(D42,0)+IFERROR(E42,0)-IFERROR(F42,0)-IFERROR(G42,0)-IFERROR(H42,0),2)=0</f>
        <v/>
      </c>
    </row>
    <row r="43">
      <c r="A43" s="10" t="n">
        <v>45138</v>
      </c>
      <c r="B43" s="9" t="inlineStr">
        <is>
          <t>Enterprise</t>
        </is>
      </c>
      <c r="C43" s="14" t="n">
        <v>18645</v>
      </c>
      <c r="D43" s="14" t="n">
        <v>5775</v>
      </c>
      <c r="E43" s="14" t="n">
        <v>59.81999999999994</v>
      </c>
      <c r="F43" s="14" t="n">
        <v>194.74</v>
      </c>
      <c r="H43" s="14" t="n">
        <v>24285.08</v>
      </c>
      <c r="I43" s="12" t="n">
        <v>29</v>
      </c>
      <c r="J43" s="5">
        <f>ROUND(IFERROR(C43,0)+IFERROR(D43,0)+IFERROR(E43,0)-IFERROR(F43,0)-IFERROR(G43,0)-IFERROR(H43,0),2)=0</f>
        <v/>
      </c>
    </row>
    <row r="44">
      <c r="A44" s="10" t="n">
        <v>45169</v>
      </c>
      <c r="B44" s="9" t="inlineStr">
        <is>
          <t>Enterprise</t>
        </is>
      </c>
      <c r="C44" s="14" t="n">
        <v>24285.08</v>
      </c>
      <c r="D44" s="14" t="n">
        <v>4290</v>
      </c>
      <c r="E44" s="14" t="n">
        <v>81.56999999999994</v>
      </c>
      <c r="H44" s="14" t="n">
        <v>28656.65</v>
      </c>
      <c r="I44" s="12" t="n">
        <v>34</v>
      </c>
      <c r="J44" s="5">
        <f>ROUND(IFERROR(C44,0)+IFERROR(D44,0)+IFERROR(E44,0)-IFERROR(F44,0)-IFERROR(G44,0)-IFERROR(H44,0),2)=0</f>
        <v/>
      </c>
    </row>
    <row r="45">
      <c r="A45" s="10" t="n">
        <v>45199</v>
      </c>
      <c r="B45" s="9" t="inlineStr">
        <is>
          <t>Enterprise</t>
        </is>
      </c>
      <c r="C45" s="14" t="n">
        <v>28656.65</v>
      </c>
      <c r="D45" s="14" t="n">
        <v>5940</v>
      </c>
      <c r="E45" s="14" t="n">
        <v>232.8399999999999</v>
      </c>
      <c r="H45" s="14" t="n">
        <v>34829.49</v>
      </c>
      <c r="I45" s="12" t="n">
        <v>41</v>
      </c>
      <c r="J45" s="5">
        <f>ROUND(IFERROR(C45,0)+IFERROR(D45,0)+IFERROR(E45,0)-IFERROR(F45,0)-IFERROR(G45,0)-IFERROR(H45,0),2)=0</f>
        <v/>
      </c>
    </row>
    <row r="46">
      <c r="A46" s="10" t="n">
        <v>45230</v>
      </c>
      <c r="B46" s="9" t="inlineStr">
        <is>
          <t>Enterprise</t>
        </is>
      </c>
      <c r="C46" s="14" t="n">
        <v>34829.49</v>
      </c>
      <c r="D46" s="14" t="n">
        <v>5940</v>
      </c>
      <c r="E46" s="14" t="n">
        <v>70.93000000000006</v>
      </c>
      <c r="H46" s="14" t="n">
        <v>40840.41999999999</v>
      </c>
      <c r="I46" s="12" t="n">
        <v>48</v>
      </c>
      <c r="J46" s="5">
        <f>ROUND(IFERROR(C46,0)+IFERROR(D46,0)+IFERROR(E46,0)-IFERROR(F46,0)-IFERROR(G46,0)-IFERROR(H46,0),2)=0</f>
        <v/>
      </c>
    </row>
    <row r="47">
      <c r="A47" s="10" t="n">
        <v>45260</v>
      </c>
      <c r="B47" s="9" t="inlineStr">
        <is>
          <t>Enterprise</t>
        </is>
      </c>
      <c r="C47" s="14" t="n">
        <v>40840.41999999999</v>
      </c>
      <c r="D47" s="14" t="n">
        <v>7755</v>
      </c>
      <c r="H47" s="14" t="n">
        <v>48595.42</v>
      </c>
      <c r="I47" s="12" t="n">
        <v>57</v>
      </c>
      <c r="J47" s="5">
        <f>ROUND(IFERROR(C47,0)+IFERROR(D47,0)+IFERROR(E47,0)-IFERROR(F47,0)-IFERROR(G47,0)-IFERROR(H47,0),2)=0</f>
        <v/>
      </c>
    </row>
    <row r="48">
      <c r="A48" s="10" t="n">
        <v>45291</v>
      </c>
      <c r="B48" s="9" t="inlineStr">
        <is>
          <t>Enterprise</t>
        </is>
      </c>
      <c r="C48" s="14" t="n">
        <v>48595.42</v>
      </c>
      <c r="D48" s="14" t="n">
        <v>8250</v>
      </c>
      <c r="G48" s="14" t="n">
        <v>1071.57</v>
      </c>
      <c r="H48" s="14" t="n">
        <v>55773.85</v>
      </c>
      <c r="I48" s="12" t="n">
        <v>66</v>
      </c>
      <c r="J48" s="5">
        <f>ROUND(IFERROR(C48,0)+IFERROR(D48,0)+IFERROR(E48,0)-IFERROR(F48,0)-IFERROR(G48,0)-IFERROR(H48,0),2)=0</f>
        <v/>
      </c>
    </row>
    <row r="49">
      <c r="A49" s="10" t="n">
        <v>45322</v>
      </c>
      <c r="B49" s="9" t="inlineStr">
        <is>
          <t>Enterprise</t>
        </is>
      </c>
      <c r="C49" s="14" t="n">
        <v>55773.85</v>
      </c>
      <c r="D49" s="14" t="n">
        <v>7755</v>
      </c>
      <c r="E49" s="14" t="n">
        <v>121.3000000000001</v>
      </c>
      <c r="F49" s="14" t="n">
        <v>147.7</v>
      </c>
      <c r="H49" s="14" t="n">
        <v>63502.45</v>
      </c>
      <c r="I49" s="12" t="n">
        <v>75</v>
      </c>
      <c r="J49" s="5">
        <f>ROUND(IFERROR(C49,0)+IFERROR(D49,0)+IFERROR(E49,0)-IFERROR(F49,0)-IFERROR(G49,0)-IFERROR(H49,0),2)=0</f>
        <v/>
      </c>
    </row>
    <row r="50">
      <c r="A50" s="10" t="n">
        <v>45351</v>
      </c>
      <c r="B50" s="9" t="inlineStr">
        <is>
          <t>Enterprise</t>
        </is>
      </c>
      <c r="C50" s="14" t="n">
        <v>63502.45</v>
      </c>
      <c r="D50" s="14" t="n">
        <v>8415</v>
      </c>
      <c r="E50" s="14" t="n">
        <v>225.21</v>
      </c>
      <c r="F50" s="14" t="n">
        <v>127.64</v>
      </c>
      <c r="G50" s="14" t="n">
        <v>990</v>
      </c>
      <c r="H50" s="14" t="n">
        <v>71025.02</v>
      </c>
      <c r="I50" s="12" t="n">
        <v>84</v>
      </c>
      <c r="J50" s="5">
        <f>ROUND(IFERROR(C50,0)+IFERROR(D50,0)+IFERROR(E50,0)-IFERROR(F50,0)-IFERROR(G50,0)-IFERROR(H50,0),2)=0</f>
        <v/>
      </c>
    </row>
    <row r="51">
      <c r="A51" s="10" t="n">
        <v>45382</v>
      </c>
      <c r="B51" s="9" t="inlineStr">
        <is>
          <t>Enterprise</t>
        </is>
      </c>
      <c r="C51" s="14" t="n">
        <v>71025.02</v>
      </c>
      <c r="D51" s="14" t="n">
        <v>8745</v>
      </c>
      <c r="G51" s="14" t="n">
        <v>825</v>
      </c>
      <c r="H51" s="14" t="n">
        <v>78945.02</v>
      </c>
      <c r="I51" s="12" t="n">
        <v>93</v>
      </c>
      <c r="J51" s="5">
        <f>ROUND(IFERROR(C51,0)+IFERROR(D51,0)+IFERROR(E51,0)-IFERROR(F51,0)-IFERROR(G51,0)-IFERROR(H51,0),2)=0</f>
        <v/>
      </c>
    </row>
    <row r="52">
      <c r="A52" s="10" t="n">
        <v>45412</v>
      </c>
      <c r="B52" s="9" t="inlineStr">
        <is>
          <t>Enterprise</t>
        </is>
      </c>
      <c r="C52" s="14" t="n">
        <v>78945.02</v>
      </c>
      <c r="D52" s="14" t="n">
        <v>8415</v>
      </c>
      <c r="E52" s="14" t="n">
        <v>164.52</v>
      </c>
      <c r="G52" s="14" t="n">
        <v>1049.82</v>
      </c>
      <c r="H52" s="14" t="n">
        <v>86474.72</v>
      </c>
      <c r="I52" s="12" t="n">
        <v>102</v>
      </c>
      <c r="J52" s="5">
        <f>ROUND(IFERROR(C52,0)+IFERROR(D52,0)+IFERROR(E52,0)-IFERROR(F52,0)-IFERROR(G52,0)-IFERROR(H52,0),2)=0</f>
        <v/>
      </c>
    </row>
    <row r="53">
      <c r="A53" s="10" t="n">
        <v>44957</v>
      </c>
      <c r="B53" s="9" t="inlineStr">
        <is>
          <t>SMB</t>
        </is>
      </c>
      <c r="C53" s="14" t="n">
        <v>0</v>
      </c>
      <c r="D53" s="14" t="n">
        <v>1545.6</v>
      </c>
      <c r="H53" s="14" t="n">
        <v>1545.6</v>
      </c>
      <c r="I53" s="12" t="n">
        <v>9</v>
      </c>
      <c r="J53" s="5">
        <f>ROUND(IFERROR(C53,0)+IFERROR(D53,0)+IFERROR(E53,0)-IFERROR(F53,0)-IFERROR(G53,0)-IFERROR(H53,0),2)=0</f>
        <v/>
      </c>
    </row>
    <row r="54">
      <c r="A54" s="10" t="n">
        <v>44985</v>
      </c>
      <c r="B54" s="9" t="inlineStr">
        <is>
          <t>SMB</t>
        </is>
      </c>
      <c r="C54" s="14" t="n">
        <v>1545.6</v>
      </c>
      <c r="D54" s="14" t="n">
        <v>2445.12</v>
      </c>
      <c r="E54" s="14" t="n">
        <v>54.50999999999999</v>
      </c>
      <c r="F54" s="14" t="n">
        <v>39.28</v>
      </c>
      <c r="H54" s="14" t="n">
        <v>4005.950000000001</v>
      </c>
      <c r="I54" s="12" t="n">
        <v>24</v>
      </c>
      <c r="J54" s="5">
        <f>ROUND(IFERROR(C54,0)+IFERROR(D54,0)+IFERROR(E54,0)-IFERROR(F54,0)-IFERROR(G54,0)-IFERROR(H54,0),2)=0</f>
        <v/>
      </c>
    </row>
    <row r="55">
      <c r="A55" s="10" t="n">
        <v>45016</v>
      </c>
      <c r="B55" s="9" t="inlineStr">
        <is>
          <t>SMB</t>
        </is>
      </c>
      <c r="C55" s="14" t="n">
        <v>4005.950000000001</v>
      </c>
      <c r="D55" s="14" t="n">
        <v>2840.440000000001</v>
      </c>
      <c r="H55" s="14" t="n">
        <v>6846.390000000001</v>
      </c>
      <c r="I55" s="12" t="n">
        <v>40</v>
      </c>
      <c r="J55" s="5">
        <f>ROUND(IFERROR(C55,0)+IFERROR(D55,0)+IFERROR(E55,0)-IFERROR(F55,0)-IFERROR(G55,0)-IFERROR(H55,0),2)=0</f>
        <v/>
      </c>
    </row>
    <row r="56">
      <c r="A56" s="10" t="n">
        <v>45046</v>
      </c>
      <c r="B56" s="9" t="inlineStr">
        <is>
          <t>SMB</t>
        </is>
      </c>
      <c r="C56" s="14" t="n">
        <v>6846.390000000001</v>
      </c>
      <c r="D56" s="14" t="n">
        <v>2390.68</v>
      </c>
      <c r="E56" s="14" t="n">
        <v>66.38999999999999</v>
      </c>
      <c r="F56" s="14" t="n">
        <v>32.91999999999999</v>
      </c>
      <c r="G56" s="14" t="n">
        <v>199</v>
      </c>
      <c r="H56" s="14" t="n">
        <v>9071.540000000001</v>
      </c>
      <c r="I56" s="12" t="n">
        <v>52</v>
      </c>
      <c r="J56" s="5">
        <f>ROUND(IFERROR(C56,0)+IFERROR(D56,0)+IFERROR(E56,0)-IFERROR(F56,0)-IFERROR(G56,0)-IFERROR(H56,0),2)=0</f>
        <v/>
      </c>
    </row>
    <row r="57">
      <c r="A57" s="10" t="n">
        <v>45077</v>
      </c>
      <c r="B57" s="9" t="inlineStr">
        <is>
          <t>SMB</t>
        </is>
      </c>
      <c r="C57" s="14" t="n">
        <v>9071.540000000001</v>
      </c>
      <c r="D57" s="14" t="n">
        <v>3590.04</v>
      </c>
      <c r="E57" s="14" t="n">
        <v>158.72</v>
      </c>
      <c r="G57" s="14" t="n">
        <v>231.72</v>
      </c>
      <c r="H57" s="14" t="n">
        <v>12588.58</v>
      </c>
      <c r="I57" s="12" t="n">
        <v>72</v>
      </c>
      <c r="J57" s="5">
        <f>ROUND(IFERROR(C57,0)+IFERROR(D57,0)+IFERROR(E57,0)-IFERROR(F57,0)-IFERROR(G57,0)-IFERROR(H57,0),2)=0</f>
        <v/>
      </c>
    </row>
    <row r="58">
      <c r="A58" s="10" t="n">
        <v>45107</v>
      </c>
      <c r="B58" s="9" t="inlineStr">
        <is>
          <t>SMB</t>
        </is>
      </c>
      <c r="C58" s="14" t="n">
        <v>12588.58</v>
      </c>
      <c r="D58" s="14" t="n">
        <v>2941.280000000001</v>
      </c>
      <c r="E58" s="14" t="n">
        <v>127.71</v>
      </c>
      <c r="F58" s="14" t="n">
        <v>47.5</v>
      </c>
      <c r="G58" s="14" t="n">
        <v>398</v>
      </c>
      <c r="H58" s="14" t="n">
        <v>15212.07</v>
      </c>
      <c r="I58" s="12" t="n">
        <v>87</v>
      </c>
      <c r="J58" s="5">
        <f>ROUND(IFERROR(C58,0)+IFERROR(D58,0)+IFERROR(E58,0)-IFERROR(F58,0)-IFERROR(G58,0)-IFERROR(H58,0),2)=0</f>
        <v/>
      </c>
    </row>
    <row r="59">
      <c r="A59" s="10" t="n">
        <v>45138</v>
      </c>
      <c r="B59" s="9" t="inlineStr">
        <is>
          <t>SMB</t>
        </is>
      </c>
      <c r="C59" s="14" t="n">
        <v>15212.07</v>
      </c>
      <c r="D59" s="14" t="n">
        <v>3786.36</v>
      </c>
      <c r="E59" s="14" t="n">
        <v>46.32999999999998</v>
      </c>
      <c r="F59" s="14" t="n">
        <v>25.69999999999999</v>
      </c>
      <c r="G59" s="14" t="n">
        <v>396.93</v>
      </c>
      <c r="H59" s="14" t="n">
        <v>18622.12999999999</v>
      </c>
      <c r="I59" s="12" t="n">
        <v>106</v>
      </c>
      <c r="J59" s="5">
        <f>ROUND(IFERROR(C59,0)+IFERROR(D59,0)+IFERROR(E59,0)-IFERROR(F59,0)-IFERROR(G59,0)-IFERROR(H59,0),2)=0</f>
        <v/>
      </c>
    </row>
    <row r="60">
      <c r="A60" s="10" t="n">
        <v>45169</v>
      </c>
      <c r="B60" s="9" t="inlineStr">
        <is>
          <t>SMB</t>
        </is>
      </c>
      <c r="C60" s="14" t="n">
        <v>18622.12999999999</v>
      </c>
      <c r="D60" s="14" t="n">
        <v>3688.2</v>
      </c>
      <c r="E60" s="14" t="n">
        <v>312.54</v>
      </c>
      <c r="F60" s="14" t="n">
        <v>83.57999999999998</v>
      </c>
      <c r="G60" s="14" t="n">
        <v>995</v>
      </c>
      <c r="H60" s="14" t="n">
        <v>21544.28999999997</v>
      </c>
      <c r="I60" s="12" t="n">
        <v>122</v>
      </c>
      <c r="J60" s="5">
        <f>ROUND(IFERROR(C60,0)+IFERROR(D60,0)+IFERROR(E60,0)-IFERROR(F60,0)-IFERROR(G60,0)-IFERROR(H60,0),2)=0</f>
        <v/>
      </c>
    </row>
    <row r="61">
      <c r="A61" s="10" t="n">
        <v>45199</v>
      </c>
      <c r="B61" s="9" t="inlineStr">
        <is>
          <t>SMB</t>
        </is>
      </c>
      <c r="C61" s="14" t="n">
        <v>21544.28999999997</v>
      </c>
      <c r="D61" s="14" t="n">
        <v>3840.800000000001</v>
      </c>
      <c r="E61" s="14" t="n">
        <v>461.46</v>
      </c>
      <c r="F61" s="14" t="n">
        <v>64.87</v>
      </c>
      <c r="G61" s="14" t="n">
        <v>325.85</v>
      </c>
      <c r="H61" s="14" t="n">
        <v>25455.82999999995</v>
      </c>
      <c r="I61" s="12" t="n">
        <v>143</v>
      </c>
      <c r="J61" s="5">
        <f>ROUND(IFERROR(C61,0)+IFERROR(D61,0)+IFERROR(E61,0)-IFERROR(F61,0)-IFERROR(G61,0)-IFERROR(H61,0),2)=0</f>
        <v/>
      </c>
    </row>
    <row r="62">
      <c r="A62" s="10" t="n">
        <v>45230</v>
      </c>
      <c r="B62" s="9" t="inlineStr">
        <is>
          <t>SMB</t>
        </is>
      </c>
      <c r="C62" s="14" t="n">
        <v>25455.82999999995</v>
      </c>
      <c r="D62" s="14" t="n">
        <v>3739.96</v>
      </c>
      <c r="E62" s="14" t="n">
        <v>176.82</v>
      </c>
      <c r="F62" s="14" t="n">
        <v>75.19999999999999</v>
      </c>
      <c r="G62" s="14" t="n">
        <v>1297.78</v>
      </c>
      <c r="H62" s="14" t="n">
        <v>27999.62999999994</v>
      </c>
      <c r="I62" s="12" t="n">
        <v>159</v>
      </c>
      <c r="J62" s="5">
        <f>ROUND(IFERROR(C62,0)+IFERROR(D62,0)+IFERROR(E62,0)-IFERROR(F62,0)-IFERROR(G62,0)-IFERROR(H62,0),2)=0</f>
        <v/>
      </c>
    </row>
    <row r="63">
      <c r="A63" s="10" t="n">
        <v>45260</v>
      </c>
      <c r="B63" s="9" t="inlineStr">
        <is>
          <t>SMB</t>
        </is>
      </c>
      <c r="C63" s="14" t="n">
        <v>27999.62999999994</v>
      </c>
      <c r="D63" s="14" t="n">
        <v>4236.120000000001</v>
      </c>
      <c r="E63" s="14" t="n">
        <v>323.42</v>
      </c>
      <c r="F63" s="14" t="n">
        <v>32.50999999999999</v>
      </c>
      <c r="G63" s="14" t="n">
        <v>619.75</v>
      </c>
      <c r="H63" s="14" t="n">
        <v>31906.90999999992</v>
      </c>
      <c r="I63" s="12" t="n">
        <v>180</v>
      </c>
      <c r="J63" s="5">
        <f>ROUND(IFERROR(C63,0)+IFERROR(D63,0)+IFERROR(E63,0)-IFERROR(F63,0)-IFERROR(G63,0)-IFERROR(H63,0),2)=0</f>
        <v/>
      </c>
    </row>
    <row r="64">
      <c r="A64" s="10" t="n">
        <v>45291</v>
      </c>
      <c r="B64" s="9" t="inlineStr">
        <is>
          <t>SMB</t>
        </is>
      </c>
      <c r="C64" s="14" t="n">
        <v>31906.90999999992</v>
      </c>
      <c r="D64" s="14" t="n">
        <v>4734.96</v>
      </c>
      <c r="E64" s="14" t="n">
        <v>490.8100000000001</v>
      </c>
      <c r="F64" s="14" t="n">
        <v>39.06</v>
      </c>
      <c r="G64" s="14" t="n">
        <v>2351</v>
      </c>
      <c r="H64" s="14" t="n">
        <v>34742.61999999989</v>
      </c>
      <c r="I64" s="12" t="n">
        <v>195</v>
      </c>
      <c r="J64" s="5">
        <f>ROUND(IFERROR(C64,0)+IFERROR(D64,0)+IFERROR(E64,0)-IFERROR(F64,0)-IFERROR(G64,0)-IFERROR(H64,0),2)=0</f>
        <v/>
      </c>
    </row>
    <row r="65">
      <c r="A65" s="10" t="n">
        <v>45322</v>
      </c>
      <c r="B65" s="9" t="inlineStr">
        <is>
          <t>SMB</t>
        </is>
      </c>
      <c r="C65" s="14" t="n">
        <v>34742.61999999989</v>
      </c>
      <c r="D65" s="14" t="n">
        <v>5481.880000000001</v>
      </c>
      <c r="E65" s="14" t="n">
        <v>441.6200000000001</v>
      </c>
      <c r="F65" s="14" t="n">
        <v>93.69000000000003</v>
      </c>
      <c r="G65" s="14" t="n">
        <v>1459.44</v>
      </c>
      <c r="H65" s="14" t="n">
        <v>39112.98999999987</v>
      </c>
      <c r="I65" s="12" t="n">
        <v>219</v>
      </c>
      <c r="J65" s="5">
        <f>ROUND(IFERROR(C65,0)+IFERROR(D65,0)+IFERROR(E65,0)-IFERROR(F65,0)-IFERROR(G65,0)-IFERROR(H65,0),2)=0</f>
        <v/>
      </c>
    </row>
    <row r="66">
      <c r="A66" s="10" t="n">
        <v>45351</v>
      </c>
      <c r="B66" s="9" t="inlineStr">
        <is>
          <t>SMB</t>
        </is>
      </c>
      <c r="C66" s="14" t="n">
        <v>39112.98999999987</v>
      </c>
      <c r="D66" s="14" t="n">
        <v>5634.480000000001</v>
      </c>
      <c r="E66" s="14" t="n">
        <v>453.48</v>
      </c>
      <c r="F66" s="14" t="n">
        <v>168.59</v>
      </c>
      <c r="G66" s="14" t="n">
        <v>1152.42</v>
      </c>
      <c r="H66" s="14" t="n">
        <v>43879.93999999986</v>
      </c>
      <c r="I66" s="12" t="n">
        <v>247</v>
      </c>
      <c r="J66" s="5">
        <f>ROUND(IFERROR(C66,0)+IFERROR(D66,0)+IFERROR(E66,0)-IFERROR(F66,0)-IFERROR(G66,0)-IFERROR(H66,0),2)=0</f>
        <v/>
      </c>
    </row>
    <row r="67">
      <c r="A67" s="10" t="n">
        <v>45382</v>
      </c>
      <c r="B67" s="9" t="inlineStr">
        <is>
          <t>SMB</t>
        </is>
      </c>
      <c r="C67" s="14" t="n">
        <v>43879.93999999986</v>
      </c>
      <c r="D67" s="14" t="n">
        <v>5882.560000000001</v>
      </c>
      <c r="E67" s="14" t="n">
        <v>390.3899999999999</v>
      </c>
      <c r="F67" s="14" t="n">
        <v>50.82000000000002</v>
      </c>
      <c r="G67" s="14" t="n">
        <v>1111.28</v>
      </c>
      <c r="H67" s="14" t="n">
        <v>48990.78999999984</v>
      </c>
      <c r="I67" s="12" t="n">
        <v>275</v>
      </c>
      <c r="J67" s="5">
        <f>ROUND(IFERROR(C67,0)+IFERROR(D67,0)+IFERROR(E67,0)-IFERROR(F67,0)-IFERROR(G67,0)-IFERROR(H67,0),2)=0</f>
        <v/>
      </c>
    </row>
    <row r="68">
      <c r="A68" s="10" t="n">
        <v>45412</v>
      </c>
      <c r="B68" s="9" t="inlineStr">
        <is>
          <t>SMB</t>
        </is>
      </c>
      <c r="C68" s="14" t="n">
        <v>48990.78999999984</v>
      </c>
      <c r="D68" s="14" t="n">
        <v>5487.240000000001</v>
      </c>
      <c r="E68" s="14" t="n">
        <v>533.41</v>
      </c>
      <c r="F68" s="14" t="n">
        <v>112</v>
      </c>
      <c r="G68" s="14" t="n">
        <v>1030.07</v>
      </c>
      <c r="H68" s="14" t="n">
        <v>53869.36999999981</v>
      </c>
      <c r="I68" s="12" t="n">
        <v>303</v>
      </c>
      <c r="J68" s="5">
        <f>ROUND(IFERROR(C68,0)+IFERROR(D68,0)+IFERROR(E68,0)-IFERROR(F68,0)-IFERROR(G68,0)-IFERROR(H68,0),2)=0</f>
        <v/>
      </c>
    </row>
    <row r="69">
      <c r="A69" s="10" t="n">
        <v>44957</v>
      </c>
      <c r="B69" s="9" t="inlineStr">
        <is>
          <t>Total</t>
        </is>
      </c>
      <c r="C69" s="14" t="n">
        <v>0</v>
      </c>
      <c r="D69" s="14" t="n">
        <v>7164.6</v>
      </c>
      <c r="H69" s="14" t="n">
        <v>7164.6</v>
      </c>
      <c r="I69" s="12" t="n">
        <v>101</v>
      </c>
      <c r="J69" s="5">
        <f>ROUND(IFERROR(C69,0)+IFERROR(D69,0)+IFERROR(E69,0)-IFERROR(F69,0)-IFERROR(G69,0)-IFERROR(H69,0),2)=0</f>
        <v/>
      </c>
    </row>
    <row r="70">
      <c r="A70" s="10" t="n">
        <v>44985</v>
      </c>
      <c r="B70" s="9" t="inlineStr">
        <is>
          <t>Total</t>
        </is>
      </c>
      <c r="C70" s="14" t="n">
        <v>7164.6</v>
      </c>
      <c r="D70" s="14" t="n">
        <v>7999.870000000001</v>
      </c>
      <c r="E70" s="14" t="n">
        <v>54.50999999999999</v>
      </c>
      <c r="F70" s="14" t="n">
        <v>39.28</v>
      </c>
      <c r="G70" s="14" t="n">
        <v>392</v>
      </c>
      <c r="H70" s="14" t="n">
        <v>14787.7</v>
      </c>
      <c r="I70" s="12" t="n">
        <v>195</v>
      </c>
      <c r="J70" s="5">
        <f>ROUND(IFERROR(C70,0)+IFERROR(D70,0)+IFERROR(E70,0)-IFERROR(F70,0)-IFERROR(G70,0)-IFERROR(H70,0),2)=0</f>
        <v/>
      </c>
    </row>
    <row r="71">
      <c r="A71" s="10" t="n">
        <v>45016</v>
      </c>
      <c r="B71" s="9" t="inlineStr">
        <is>
          <t>Total</t>
        </is>
      </c>
      <c r="C71" s="14" t="n">
        <v>14787.7</v>
      </c>
      <c r="D71" s="14" t="n">
        <v>11718.94</v>
      </c>
      <c r="G71" s="14" t="n">
        <v>343</v>
      </c>
      <c r="H71" s="14" t="n">
        <v>26163.63999999998</v>
      </c>
      <c r="I71" s="12" t="n">
        <v>311</v>
      </c>
      <c r="J71" s="5">
        <f>ROUND(IFERROR(C71,0)+IFERROR(D71,0)+IFERROR(E71,0)-IFERROR(F71,0)-IFERROR(G71,0)-IFERROR(H71,0),2)=0</f>
        <v/>
      </c>
    </row>
    <row r="72">
      <c r="A72" s="10" t="n">
        <v>45046</v>
      </c>
      <c r="B72" s="9" t="inlineStr">
        <is>
          <t>Total</t>
        </is>
      </c>
      <c r="C72" s="14" t="n">
        <v>26163.63999999998</v>
      </c>
      <c r="D72" s="14" t="n">
        <v>10596.43</v>
      </c>
      <c r="E72" s="14" t="n">
        <v>66.38999999999999</v>
      </c>
      <c r="F72" s="14" t="n">
        <v>32.91999999999999</v>
      </c>
      <c r="G72" s="14" t="n">
        <v>2022</v>
      </c>
      <c r="H72" s="14" t="n">
        <v>34771.53999999996</v>
      </c>
      <c r="I72" s="12" t="n">
        <v>417</v>
      </c>
      <c r="J72" s="5">
        <f>ROUND(IFERROR(C72,0)+IFERROR(D72,0)+IFERROR(E72,0)-IFERROR(F72,0)-IFERROR(G72,0)-IFERROR(H72,0),2)=0</f>
        <v/>
      </c>
    </row>
    <row r="73">
      <c r="A73" s="10" t="n">
        <v>45077</v>
      </c>
      <c r="B73" s="9" t="inlineStr">
        <is>
          <t>Total</t>
        </is>
      </c>
      <c r="C73" s="14" t="n">
        <v>34771.53999999996</v>
      </c>
      <c r="D73" s="14" t="n">
        <v>13976.29</v>
      </c>
      <c r="E73" s="14" t="n">
        <v>158.72</v>
      </c>
      <c r="G73" s="14" t="n">
        <v>1407.72</v>
      </c>
      <c r="H73" s="14" t="n">
        <v>47498.82999999996</v>
      </c>
      <c r="I73" s="12" t="n">
        <v>526</v>
      </c>
      <c r="J73" s="5">
        <f>ROUND(IFERROR(C73,0)+IFERROR(D73,0)+IFERROR(E73,0)-IFERROR(F73,0)-IFERROR(G73,0)-IFERROR(H73,0),2)=0</f>
        <v/>
      </c>
    </row>
    <row r="74">
      <c r="A74" s="10" t="n">
        <v>45107</v>
      </c>
      <c r="B74" s="9" t="inlineStr">
        <is>
          <t>Total</t>
        </is>
      </c>
      <c r="C74" s="14" t="n">
        <v>47498.82999999996</v>
      </c>
      <c r="D74" s="14" t="n">
        <v>13105.28</v>
      </c>
      <c r="E74" s="14" t="n">
        <v>127.71</v>
      </c>
      <c r="F74" s="14" t="n">
        <v>47.5</v>
      </c>
      <c r="G74" s="14" t="n">
        <v>3995</v>
      </c>
      <c r="H74" s="14" t="n">
        <v>56689.31999999994</v>
      </c>
      <c r="I74" s="12" t="n">
        <v>637</v>
      </c>
      <c r="J74" s="5">
        <f>ROUND(IFERROR(C74,0)+IFERROR(D74,0)+IFERROR(E74,0)-IFERROR(F74,0)-IFERROR(G74,0)-IFERROR(H74,0),2)=0</f>
        <v/>
      </c>
    </row>
    <row r="75">
      <c r="A75" s="10" t="n">
        <v>45138</v>
      </c>
      <c r="B75" s="9" t="inlineStr">
        <is>
          <t>Total</t>
        </is>
      </c>
      <c r="C75" s="14" t="n">
        <v>56689.31999999994</v>
      </c>
      <c r="D75" s="14" t="n">
        <v>14933.86</v>
      </c>
      <c r="E75" s="14" t="n">
        <v>106.1499999999999</v>
      </c>
      <c r="F75" s="14" t="n">
        <v>220.44</v>
      </c>
      <c r="G75" s="14" t="n">
        <v>1474.93</v>
      </c>
      <c r="H75" s="14" t="n">
        <v>70033.95999999992</v>
      </c>
      <c r="I75" s="12" t="n">
        <v>759</v>
      </c>
      <c r="J75" s="5">
        <f>ROUND(IFERROR(C75,0)+IFERROR(D75,0)+IFERROR(E75,0)-IFERROR(F75,0)-IFERROR(G75,0)-IFERROR(H75,0),2)=0</f>
        <v/>
      </c>
    </row>
    <row r="76">
      <c r="A76" s="10" t="n">
        <v>45169</v>
      </c>
      <c r="B76" s="9" t="inlineStr">
        <is>
          <t>Total</t>
        </is>
      </c>
      <c r="C76" s="14" t="n">
        <v>70033.95999999992</v>
      </c>
      <c r="D76" s="14" t="n">
        <v>13814.45</v>
      </c>
      <c r="E76" s="14" t="n">
        <v>394.1099999999999</v>
      </c>
      <c r="F76" s="14" t="n">
        <v>83.57999999999998</v>
      </c>
      <c r="G76" s="14" t="n">
        <v>2906</v>
      </c>
      <c r="H76" s="14" t="n">
        <v>81252.93999999992</v>
      </c>
      <c r="I76" s="12" t="n">
        <v>872</v>
      </c>
      <c r="J76" s="5">
        <f>ROUND(IFERROR(C76,0)+IFERROR(D76,0)+IFERROR(E76,0)-IFERROR(F76,0)-IFERROR(G76,0)-IFERROR(H76,0),2)=0</f>
        <v/>
      </c>
    </row>
    <row r="77">
      <c r="A77" s="10" t="n">
        <v>45199</v>
      </c>
      <c r="B77" s="9" t="inlineStr">
        <is>
          <t>Total</t>
        </is>
      </c>
      <c r="C77" s="14" t="n">
        <v>81252.93999999992</v>
      </c>
      <c r="D77" s="14" t="n">
        <v>16224.3</v>
      </c>
      <c r="E77" s="14" t="n">
        <v>694.3</v>
      </c>
      <c r="F77" s="14" t="n">
        <v>64.87</v>
      </c>
      <c r="G77" s="14" t="n">
        <v>2775.85</v>
      </c>
      <c r="H77" s="14" t="n">
        <v>95330.81999999988</v>
      </c>
      <c r="I77" s="12" t="n">
        <v>995</v>
      </c>
      <c r="J77" s="5">
        <f>ROUND(IFERROR(C77,0)+IFERROR(D77,0)+IFERROR(E77,0)-IFERROR(F77,0)-IFERROR(G77,0)-IFERROR(H77,0),2)=0</f>
        <v/>
      </c>
    </row>
    <row r="78">
      <c r="A78" s="10" t="n">
        <v>45230</v>
      </c>
      <c r="B78" s="9" t="inlineStr">
        <is>
          <t>Total</t>
        </is>
      </c>
      <c r="C78" s="14" t="n">
        <v>95330.81999999988</v>
      </c>
      <c r="D78" s="14" t="n">
        <v>16751.71</v>
      </c>
      <c r="E78" s="14" t="n">
        <v>247.7500000000001</v>
      </c>
      <c r="F78" s="14" t="n">
        <v>75.19999999999999</v>
      </c>
      <c r="G78" s="14" t="n">
        <v>4041.78</v>
      </c>
      <c r="H78" s="14" t="n">
        <v>108213.2999999998</v>
      </c>
      <c r="I78" s="12" t="n">
        <v>1124</v>
      </c>
      <c r="J78" s="5">
        <f>ROUND(IFERROR(C78,0)+IFERROR(D78,0)+IFERROR(E78,0)-IFERROR(F78,0)-IFERROR(G78,0)-IFERROR(H78,0),2)=0</f>
        <v/>
      </c>
    </row>
    <row r="79">
      <c r="A79" s="10" t="n">
        <v>45260</v>
      </c>
      <c r="B79" s="9" t="inlineStr">
        <is>
          <t>Total</t>
        </is>
      </c>
      <c r="C79" s="14" t="n">
        <v>108213.2999999998</v>
      </c>
      <c r="D79" s="14" t="n">
        <v>18667.37</v>
      </c>
      <c r="E79" s="14" t="n">
        <v>323.42</v>
      </c>
      <c r="F79" s="14" t="n">
        <v>32.50999999999999</v>
      </c>
      <c r="G79" s="14" t="n">
        <v>3461.75</v>
      </c>
      <c r="H79" s="14" t="n">
        <v>123709.8299999998</v>
      </c>
      <c r="I79" s="12" t="n">
        <v>1248</v>
      </c>
      <c r="J79" s="5">
        <f>ROUND(IFERROR(C79,0)+IFERROR(D79,0)+IFERROR(E79,0)-IFERROR(F79,0)-IFERROR(G79,0)-IFERROR(H79,0),2)=0</f>
        <v/>
      </c>
    </row>
    <row r="80">
      <c r="A80" s="10" t="n">
        <v>45291</v>
      </c>
      <c r="B80" s="9" t="inlineStr">
        <is>
          <t>Total</t>
        </is>
      </c>
      <c r="C80" s="14" t="n">
        <v>123709.8299999998</v>
      </c>
      <c r="D80" s="14" t="n">
        <v>20088.21</v>
      </c>
      <c r="E80" s="14" t="n">
        <v>490.8100000000001</v>
      </c>
      <c r="F80" s="14" t="n">
        <v>39.06</v>
      </c>
      <c r="G80" s="14" t="n">
        <v>6803.57</v>
      </c>
      <c r="H80" s="14" t="n">
        <v>137446.2199999999</v>
      </c>
      <c r="I80" s="12" t="n">
        <v>1365</v>
      </c>
      <c r="J80" s="5">
        <f>ROUND(IFERROR(C80,0)+IFERROR(D80,0)+IFERROR(E80,0)-IFERROR(F80,0)-IFERROR(G80,0)-IFERROR(H80,0),2)=0</f>
        <v/>
      </c>
    </row>
    <row r="81">
      <c r="A81" s="10" t="n">
        <v>45322</v>
      </c>
      <c r="B81" s="9" t="inlineStr">
        <is>
          <t>Total</t>
        </is>
      </c>
      <c r="C81" s="14" t="n">
        <v>137446.2199999999</v>
      </c>
      <c r="D81" s="14" t="n">
        <v>20506.38</v>
      </c>
      <c r="E81" s="14" t="n">
        <v>562.9200000000001</v>
      </c>
      <c r="F81" s="14" t="n">
        <v>241.3900000000001</v>
      </c>
      <c r="G81" s="14" t="n">
        <v>5183.440000000001</v>
      </c>
      <c r="H81" s="14" t="n">
        <v>153090.69</v>
      </c>
      <c r="I81" s="12" t="n">
        <v>1489</v>
      </c>
      <c r="J81" s="5">
        <f>ROUND(IFERROR(C81,0)+IFERROR(D81,0)+IFERROR(E81,0)-IFERROR(F81,0)-IFERROR(G81,0)-IFERROR(H81,0),2)=0</f>
        <v/>
      </c>
    </row>
    <row r="82">
      <c r="A82" s="10" t="n">
        <v>45351</v>
      </c>
      <c r="B82" s="9" t="inlineStr">
        <is>
          <t>Total</t>
        </is>
      </c>
      <c r="C82" s="14" t="n">
        <v>153090.69</v>
      </c>
      <c r="D82" s="14" t="n">
        <v>22176.47999999999</v>
      </c>
      <c r="E82" s="14" t="n">
        <v>678.6899999999999</v>
      </c>
      <c r="F82" s="14" t="n">
        <v>296.23</v>
      </c>
      <c r="G82" s="14" t="n">
        <v>5556.67</v>
      </c>
      <c r="H82" s="14" t="n">
        <v>170092.9600000003</v>
      </c>
      <c r="I82" s="12" t="n">
        <v>1645</v>
      </c>
      <c r="J82" s="5">
        <f>ROUND(IFERROR(C82,0)+IFERROR(D82,0)+IFERROR(E82,0)-IFERROR(F82,0)-IFERROR(G82,0)-IFERROR(H82,0),2)=0</f>
        <v/>
      </c>
    </row>
    <row r="83">
      <c r="A83" s="10" t="n">
        <v>45382</v>
      </c>
      <c r="B83" s="9" t="inlineStr">
        <is>
          <t>Total</t>
        </is>
      </c>
      <c r="C83" s="14" t="n">
        <v>170092.9600000003</v>
      </c>
      <c r="D83" s="14" t="n">
        <v>22649.55999999999</v>
      </c>
      <c r="E83" s="14" t="n">
        <v>390.3899999999999</v>
      </c>
      <c r="F83" s="14" t="n">
        <v>50.82000000000002</v>
      </c>
      <c r="G83" s="14" t="n">
        <v>5677.780000000001</v>
      </c>
      <c r="H83" s="14" t="n">
        <v>187404.3100000005</v>
      </c>
      <c r="I83" s="12" t="n">
        <v>1788</v>
      </c>
      <c r="J83" s="5">
        <f>ROUND(IFERROR(C83,0)+IFERROR(D83,0)+IFERROR(E83,0)-IFERROR(F83,0)-IFERROR(G83,0)-IFERROR(H83,0),2)=0</f>
        <v/>
      </c>
    </row>
    <row r="84">
      <c r="A84" s="10" t="n">
        <v>45412</v>
      </c>
      <c r="B84" s="9" t="inlineStr">
        <is>
          <t>Total</t>
        </is>
      </c>
      <c r="C84" s="14" t="n">
        <v>187404.3100000005</v>
      </c>
      <c r="D84" s="14" t="n">
        <v>22702.98999999999</v>
      </c>
      <c r="E84" s="14" t="n">
        <v>697.9299999999999</v>
      </c>
      <c r="F84" s="14" t="n">
        <v>112</v>
      </c>
      <c r="G84" s="14" t="n">
        <v>5984.14</v>
      </c>
      <c r="H84" s="14" t="n">
        <v>204709.0900000007</v>
      </c>
      <c r="I84" s="12" t="n">
        <v>1941</v>
      </c>
      <c r="J84" s="5">
        <f>ROUND(IFERROR(C84,0)+IFERROR(D84,0)+IFERROR(E84,0)-IFERROR(F84,0)-IFERROR(G84,0)-IFERROR(H84,0),2)=0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2" customWidth="1" min="5" max="5"/>
    <col width="20" customWidth="1" min="6" max="6"/>
  </cols>
  <sheetData>
    <row r="1">
      <c r="A1" s="1" t="inlineStr">
        <is>
          <t>Data_Costs</t>
        </is>
      </c>
    </row>
    <row r="2">
      <c r="A2" s="2" t="inlineStr">
        <is>
          <t>Source: stg_marketing_spend, stg_support_costs, mart_a2_01_new_paying_customers (verbatim exports). Three blocks: marketing spend by segment x channel, support costs by category (incl. G&amp;A), and new paying customers by month x segment.</t>
        </is>
      </c>
    </row>
    <row r="4">
      <c r="A4" s="3" t="inlineStr">
        <is>
          <t>Block A -- Marketing spend by segment x channel (stg_marketing_spend)</t>
        </is>
      </c>
      <c r="B4" s="4" t="n"/>
      <c r="C4" s="4" t="n"/>
      <c r="D4" s="4" t="n"/>
      <c r="E4" s="4" t="n"/>
      <c r="F4" s="4" t="n"/>
    </row>
    <row r="5">
      <c r="A5" s="6" t="inlineStr">
        <is>
          <t>month</t>
        </is>
      </c>
      <c r="B5" s="6" t="inlineStr">
        <is>
          <t>segment</t>
        </is>
      </c>
      <c r="C5" s="6" t="inlineStr">
        <is>
          <t>channel</t>
        </is>
      </c>
      <c r="D5" s="6" t="inlineStr">
        <is>
          <t>spend</t>
        </is>
      </c>
      <c r="E5" s="6" t="inlineStr">
        <is>
          <t>new_users_acquired</t>
        </is>
      </c>
    </row>
    <row r="6">
      <c r="A6" s="10" t="n">
        <v>44927</v>
      </c>
      <c r="B6" s="9" t="inlineStr">
        <is>
          <t>B2C</t>
        </is>
      </c>
      <c r="C6" s="9" t="inlineStr">
        <is>
          <t>Content</t>
        </is>
      </c>
      <c r="D6" s="14" t="n">
        <v>4804.82</v>
      </c>
      <c r="E6" s="12" t="n">
        <v>150</v>
      </c>
    </row>
    <row r="7">
      <c r="A7" s="10" t="n">
        <v>44927</v>
      </c>
      <c r="B7" s="9" t="inlineStr">
        <is>
          <t>B2C</t>
        </is>
      </c>
      <c r="C7" s="9" t="inlineStr">
        <is>
          <t>Organic</t>
        </is>
      </c>
      <c r="D7" s="14" t="n">
        <v>3100.99</v>
      </c>
      <c r="E7" s="12" t="n">
        <v>210</v>
      </c>
    </row>
    <row r="8">
      <c r="A8" s="10" t="n">
        <v>44927</v>
      </c>
      <c r="B8" s="9" t="inlineStr">
        <is>
          <t>B2C</t>
        </is>
      </c>
      <c r="C8" s="9" t="inlineStr">
        <is>
          <t>Paid Search</t>
        </is>
      </c>
      <c r="D8" s="14" t="n">
        <v>15854.35</v>
      </c>
      <c r="E8" s="12" t="n">
        <v>290</v>
      </c>
    </row>
    <row r="9">
      <c r="A9" s="10" t="n">
        <v>44927</v>
      </c>
      <c r="B9" s="9" t="inlineStr">
        <is>
          <t>B2C</t>
        </is>
      </c>
      <c r="C9" s="9" t="inlineStr">
        <is>
          <t>Paid Social</t>
        </is>
      </c>
      <c r="D9" s="14" t="n">
        <v>11150.23</v>
      </c>
      <c r="E9" s="12" t="n">
        <v>233</v>
      </c>
    </row>
    <row r="10">
      <c r="A10" s="10" t="n">
        <v>44927</v>
      </c>
      <c r="B10" s="9" t="inlineStr">
        <is>
          <t>Enterprise</t>
        </is>
      </c>
      <c r="C10" s="9" t="inlineStr">
        <is>
          <t>Content</t>
        </is>
      </c>
      <c r="D10" s="14" t="n">
        <v>3268.88</v>
      </c>
      <c r="E10" s="12" t="n">
        <v>0</v>
      </c>
    </row>
    <row r="11">
      <c r="A11" s="10" t="n">
        <v>44927</v>
      </c>
      <c r="B11" s="9" t="inlineStr">
        <is>
          <t>Enterprise</t>
        </is>
      </c>
      <c r="C11" s="9" t="inlineStr">
        <is>
          <t>Sales Team</t>
        </is>
      </c>
      <c r="D11" s="14" t="n">
        <v>17514.6</v>
      </c>
      <c r="E11" s="12" t="n">
        <v>3</v>
      </c>
    </row>
    <row r="12">
      <c r="A12" s="10" t="n">
        <v>44927</v>
      </c>
      <c r="B12" s="9" t="inlineStr">
        <is>
          <t>SMB</t>
        </is>
      </c>
      <c r="C12" s="9" t="inlineStr">
        <is>
          <t>Content</t>
        </is>
      </c>
      <c r="D12" s="14" t="n">
        <v>2220.16</v>
      </c>
      <c r="E12" s="12" t="n">
        <v>8</v>
      </c>
    </row>
    <row r="13">
      <c r="A13" s="10" t="n">
        <v>44927</v>
      </c>
      <c r="B13" s="9" t="inlineStr">
        <is>
          <t>SMB</t>
        </is>
      </c>
      <c r="C13" s="9" t="inlineStr">
        <is>
          <t>Paid Search</t>
        </is>
      </c>
      <c r="D13" s="14" t="n">
        <v>4325.02</v>
      </c>
      <c r="E13" s="12" t="n">
        <v>15</v>
      </c>
    </row>
    <row r="14">
      <c r="A14" s="10" t="n">
        <v>44927</v>
      </c>
      <c r="B14" s="9" t="inlineStr">
        <is>
          <t>SMB</t>
        </is>
      </c>
      <c r="C14" s="9" t="inlineStr">
        <is>
          <t>Paid Social</t>
        </is>
      </c>
      <c r="D14" s="14" t="n">
        <v>3437.9</v>
      </c>
      <c r="E14" s="12" t="n">
        <v>9</v>
      </c>
    </row>
    <row r="15">
      <c r="A15" s="10" t="n">
        <v>44958</v>
      </c>
      <c r="B15" s="9" t="inlineStr">
        <is>
          <t>B2C</t>
        </is>
      </c>
      <c r="C15" s="9" t="inlineStr">
        <is>
          <t>Content</t>
        </is>
      </c>
      <c r="D15" s="14" t="n">
        <v>5557.39</v>
      </c>
      <c r="E15" s="12" t="n">
        <v>189</v>
      </c>
    </row>
    <row r="16">
      <c r="A16" s="10" t="n">
        <v>44958</v>
      </c>
      <c r="B16" s="9" t="inlineStr">
        <is>
          <t>B2C</t>
        </is>
      </c>
      <c r="C16" s="9" t="inlineStr">
        <is>
          <t>Organic</t>
        </is>
      </c>
      <c r="D16" s="14" t="n">
        <v>3258.38</v>
      </c>
      <c r="E16" s="12" t="n">
        <v>249</v>
      </c>
    </row>
    <row r="17">
      <c r="A17" s="10" t="n">
        <v>44958</v>
      </c>
      <c r="B17" s="9" t="inlineStr">
        <is>
          <t>B2C</t>
        </is>
      </c>
      <c r="C17" s="9" t="inlineStr">
        <is>
          <t>Paid Search</t>
        </is>
      </c>
      <c r="D17" s="14" t="n">
        <v>14003.44</v>
      </c>
      <c r="E17" s="12" t="n">
        <v>295</v>
      </c>
    </row>
    <row r="18">
      <c r="A18" s="10" t="n">
        <v>44958</v>
      </c>
      <c r="B18" s="9" t="inlineStr">
        <is>
          <t>B2C</t>
        </is>
      </c>
      <c r="C18" s="9" t="inlineStr">
        <is>
          <t>Paid Social</t>
        </is>
      </c>
      <c r="D18" s="14" t="n">
        <v>12812.7</v>
      </c>
      <c r="E18" s="12" t="n">
        <v>239</v>
      </c>
    </row>
    <row r="19">
      <c r="A19" s="10" t="n">
        <v>44958</v>
      </c>
      <c r="B19" s="9" t="inlineStr">
        <is>
          <t>Enterprise</t>
        </is>
      </c>
      <c r="C19" s="9" t="inlineStr">
        <is>
          <t>Content</t>
        </is>
      </c>
      <c r="D19" s="14" t="n">
        <v>3301.12</v>
      </c>
      <c r="E19" s="12" t="n">
        <v>0</v>
      </c>
    </row>
    <row r="20">
      <c r="A20" s="10" t="n">
        <v>44958</v>
      </c>
      <c r="B20" s="9" t="inlineStr">
        <is>
          <t>Enterprise</t>
        </is>
      </c>
      <c r="C20" s="9" t="inlineStr">
        <is>
          <t>Sales Team</t>
        </is>
      </c>
      <c r="D20" s="14" t="n">
        <v>17507.52</v>
      </c>
      <c r="E20" s="12" t="n">
        <v>3</v>
      </c>
    </row>
    <row r="21">
      <c r="A21" s="10" t="n">
        <v>44958</v>
      </c>
      <c r="B21" s="9" t="inlineStr">
        <is>
          <t>SMB</t>
        </is>
      </c>
      <c r="C21" s="9" t="inlineStr">
        <is>
          <t>Content</t>
        </is>
      </c>
      <c r="D21" s="14" t="n">
        <v>1829.56</v>
      </c>
      <c r="E21" s="12" t="n">
        <v>7</v>
      </c>
    </row>
    <row r="22">
      <c r="A22" s="10" t="n">
        <v>44958</v>
      </c>
      <c r="B22" s="9" t="inlineStr">
        <is>
          <t>SMB</t>
        </is>
      </c>
      <c r="C22" s="9" t="inlineStr">
        <is>
          <t>Paid Search</t>
        </is>
      </c>
      <c r="D22" s="14" t="n">
        <v>4714.35</v>
      </c>
      <c r="E22" s="12" t="n">
        <v>13</v>
      </c>
    </row>
    <row r="23">
      <c r="A23" s="10" t="n">
        <v>44958</v>
      </c>
      <c r="B23" s="9" t="inlineStr">
        <is>
          <t>SMB</t>
        </is>
      </c>
      <c r="C23" s="9" t="inlineStr">
        <is>
          <t>Paid Social</t>
        </is>
      </c>
      <c r="D23" s="14" t="n">
        <v>3680.62</v>
      </c>
      <c r="E23" s="12" t="n">
        <v>9</v>
      </c>
    </row>
    <row r="24">
      <c r="A24" s="10" t="n">
        <v>44986</v>
      </c>
      <c r="B24" s="9" t="inlineStr">
        <is>
          <t>B2C</t>
        </is>
      </c>
      <c r="C24" s="9" t="inlineStr">
        <is>
          <t>Content</t>
        </is>
      </c>
      <c r="D24" s="14" t="n">
        <v>5023.44</v>
      </c>
      <c r="E24" s="12" t="n">
        <v>195</v>
      </c>
    </row>
    <row r="25">
      <c r="A25" s="10" t="n">
        <v>44986</v>
      </c>
      <c r="B25" s="9" t="inlineStr">
        <is>
          <t>B2C</t>
        </is>
      </c>
      <c r="C25" s="9" t="inlineStr">
        <is>
          <t>Organic</t>
        </is>
      </c>
      <c r="D25" s="14" t="n">
        <v>3448.51</v>
      </c>
      <c r="E25" s="12" t="n">
        <v>234</v>
      </c>
    </row>
    <row r="26">
      <c r="A26" s="10" t="n">
        <v>44986</v>
      </c>
      <c r="B26" s="9" t="inlineStr">
        <is>
          <t>B2C</t>
        </is>
      </c>
      <c r="C26" s="9" t="inlineStr">
        <is>
          <t>Paid Search</t>
        </is>
      </c>
      <c r="D26" s="14" t="n">
        <v>14685.96</v>
      </c>
      <c r="E26" s="12" t="n">
        <v>306</v>
      </c>
    </row>
    <row r="27">
      <c r="A27" s="10" t="n">
        <v>44986</v>
      </c>
      <c r="B27" s="9" t="inlineStr">
        <is>
          <t>B2C</t>
        </is>
      </c>
      <c r="C27" s="9" t="inlineStr">
        <is>
          <t>Paid Social</t>
        </is>
      </c>
      <c r="D27" s="14" t="n">
        <v>14479.43</v>
      </c>
      <c r="E27" s="12" t="n">
        <v>244</v>
      </c>
    </row>
    <row r="28">
      <c r="A28" s="10" t="n">
        <v>44986</v>
      </c>
      <c r="B28" s="9" t="inlineStr">
        <is>
          <t>Enterprise</t>
        </is>
      </c>
      <c r="C28" s="9" t="inlineStr">
        <is>
          <t>Content</t>
        </is>
      </c>
      <c r="D28" s="14" t="n">
        <v>3114.17</v>
      </c>
      <c r="E28" s="12" t="n">
        <v>0</v>
      </c>
    </row>
    <row r="29">
      <c r="A29" s="10" t="n">
        <v>44986</v>
      </c>
      <c r="B29" s="9" t="inlineStr">
        <is>
          <t>Enterprise</t>
        </is>
      </c>
      <c r="C29" s="9" t="inlineStr">
        <is>
          <t>Sales Team</t>
        </is>
      </c>
      <c r="D29" s="14" t="n">
        <v>20635.51</v>
      </c>
      <c r="E29" s="12" t="n">
        <v>3</v>
      </c>
    </row>
    <row r="30">
      <c r="A30" s="10" t="n">
        <v>44986</v>
      </c>
      <c r="B30" s="9" t="inlineStr">
        <is>
          <t>SMB</t>
        </is>
      </c>
      <c r="C30" s="9" t="inlineStr">
        <is>
          <t>Content</t>
        </is>
      </c>
      <c r="D30" s="14" t="n">
        <v>2409.27</v>
      </c>
      <c r="E30" s="12" t="n">
        <v>10</v>
      </c>
    </row>
    <row r="31">
      <c r="A31" s="10" t="n">
        <v>44986</v>
      </c>
      <c r="B31" s="9" t="inlineStr">
        <is>
          <t>SMB</t>
        </is>
      </c>
      <c r="C31" s="9" t="inlineStr">
        <is>
          <t>Paid Search</t>
        </is>
      </c>
      <c r="D31" s="14" t="n">
        <v>5327.2</v>
      </c>
      <c r="E31" s="12" t="n">
        <v>14</v>
      </c>
    </row>
    <row r="32">
      <c r="A32" s="10" t="n">
        <v>44986</v>
      </c>
      <c r="B32" s="9" t="inlineStr">
        <is>
          <t>SMB</t>
        </is>
      </c>
      <c r="C32" s="9" t="inlineStr">
        <is>
          <t>Paid Social</t>
        </is>
      </c>
      <c r="D32" s="14" t="n">
        <v>3086.22</v>
      </c>
      <c r="E32" s="12" t="n">
        <v>9</v>
      </c>
    </row>
    <row r="33">
      <c r="A33" s="10" t="n">
        <v>45017</v>
      </c>
      <c r="B33" s="9" t="inlineStr">
        <is>
          <t>B2C</t>
        </is>
      </c>
      <c r="C33" s="9" t="inlineStr">
        <is>
          <t>Content</t>
        </is>
      </c>
      <c r="D33" s="14" t="n">
        <v>5857.34</v>
      </c>
      <c r="E33" s="12" t="n">
        <v>219</v>
      </c>
    </row>
    <row r="34">
      <c r="A34" s="10" t="n">
        <v>45017</v>
      </c>
      <c r="B34" s="9" t="inlineStr">
        <is>
          <t>B2C</t>
        </is>
      </c>
      <c r="C34" s="9" t="inlineStr">
        <is>
          <t>Organic</t>
        </is>
      </c>
      <c r="D34" s="14" t="n">
        <v>3622.36</v>
      </c>
      <c r="E34" s="12" t="n">
        <v>227</v>
      </c>
    </row>
    <row r="35">
      <c r="A35" s="10" t="n">
        <v>45017</v>
      </c>
      <c r="B35" s="9" t="inlineStr">
        <is>
          <t>B2C</t>
        </is>
      </c>
      <c r="C35" s="9" t="inlineStr">
        <is>
          <t>Paid Search</t>
        </is>
      </c>
      <c r="D35" s="14" t="n">
        <v>17048.22</v>
      </c>
      <c r="E35" s="12" t="n">
        <v>440</v>
      </c>
    </row>
    <row r="36">
      <c r="A36" s="10" t="n">
        <v>45017</v>
      </c>
      <c r="B36" s="9" t="inlineStr">
        <is>
          <t>B2C</t>
        </is>
      </c>
      <c r="C36" s="9" t="inlineStr">
        <is>
          <t>Paid Social</t>
        </is>
      </c>
      <c r="D36" s="14" t="n">
        <v>13334.94</v>
      </c>
      <c r="E36" s="12" t="n">
        <v>203</v>
      </c>
    </row>
    <row r="37">
      <c r="A37" s="10" t="n">
        <v>45017</v>
      </c>
      <c r="B37" s="9" t="inlineStr">
        <is>
          <t>Enterprise</t>
        </is>
      </c>
      <c r="C37" s="9" t="inlineStr">
        <is>
          <t>Content</t>
        </is>
      </c>
      <c r="D37" s="14" t="n">
        <v>3861.82</v>
      </c>
      <c r="E37" s="12" t="n">
        <v>1</v>
      </c>
    </row>
    <row r="38">
      <c r="A38" s="10" t="n">
        <v>45017</v>
      </c>
      <c r="B38" s="9" t="inlineStr">
        <is>
          <t>Enterprise</t>
        </is>
      </c>
      <c r="C38" s="9" t="inlineStr">
        <is>
          <t>Sales Team</t>
        </is>
      </c>
      <c r="D38" s="14" t="n">
        <v>19189.46</v>
      </c>
      <c r="E38" s="12" t="n">
        <v>3</v>
      </c>
    </row>
    <row r="39">
      <c r="A39" s="10" t="n">
        <v>45017</v>
      </c>
      <c r="B39" s="9" t="inlineStr">
        <is>
          <t>SMB</t>
        </is>
      </c>
      <c r="C39" s="9" t="inlineStr">
        <is>
          <t>Content</t>
        </is>
      </c>
      <c r="D39" s="14" t="n">
        <v>2724.34</v>
      </c>
      <c r="E39" s="12" t="n">
        <v>10</v>
      </c>
    </row>
    <row r="40">
      <c r="A40" s="10" t="n">
        <v>45017</v>
      </c>
      <c r="B40" s="9" t="inlineStr">
        <is>
          <t>SMB</t>
        </is>
      </c>
      <c r="C40" s="9" t="inlineStr">
        <is>
          <t>Paid Search</t>
        </is>
      </c>
      <c r="D40" s="14" t="n">
        <v>5783.14</v>
      </c>
      <c r="E40" s="12" t="n">
        <v>12</v>
      </c>
    </row>
    <row r="41">
      <c r="A41" s="10" t="n">
        <v>45017</v>
      </c>
      <c r="B41" s="9" t="inlineStr">
        <is>
          <t>SMB</t>
        </is>
      </c>
      <c r="C41" s="9" t="inlineStr">
        <is>
          <t>Paid Social</t>
        </is>
      </c>
      <c r="D41" s="14" t="n">
        <v>4148.48</v>
      </c>
      <c r="E41" s="12" t="n">
        <v>7</v>
      </c>
    </row>
    <row r="42">
      <c r="A42" s="10" t="n">
        <v>45047</v>
      </c>
      <c r="B42" s="9" t="inlineStr">
        <is>
          <t>B2C</t>
        </is>
      </c>
      <c r="C42" s="9" t="inlineStr">
        <is>
          <t>Content</t>
        </is>
      </c>
      <c r="D42" s="14" t="n">
        <v>7034.07</v>
      </c>
      <c r="E42" s="12" t="n">
        <v>280</v>
      </c>
    </row>
    <row r="43">
      <c r="A43" s="10" t="n">
        <v>45047</v>
      </c>
      <c r="B43" s="9" t="inlineStr">
        <is>
          <t>B2C</t>
        </is>
      </c>
      <c r="C43" s="9" t="inlineStr">
        <is>
          <t>Organic</t>
        </is>
      </c>
      <c r="D43" s="14" t="n">
        <v>3593.96</v>
      </c>
      <c r="E43" s="12" t="n">
        <v>277</v>
      </c>
    </row>
    <row r="44">
      <c r="A44" s="10" t="n">
        <v>45047</v>
      </c>
      <c r="B44" s="9" t="inlineStr">
        <is>
          <t>B2C</t>
        </is>
      </c>
      <c r="C44" s="9" t="inlineStr">
        <is>
          <t>Paid Search</t>
        </is>
      </c>
      <c r="D44" s="14" t="n">
        <v>17432.93</v>
      </c>
      <c r="E44" s="12" t="n">
        <v>451</v>
      </c>
    </row>
    <row r="45">
      <c r="A45" s="10" t="n">
        <v>45047</v>
      </c>
      <c r="B45" s="9" t="inlineStr">
        <is>
          <t>B2C</t>
        </is>
      </c>
      <c r="C45" s="9" t="inlineStr">
        <is>
          <t>Paid Social</t>
        </is>
      </c>
      <c r="D45" s="14" t="n">
        <v>13467.27</v>
      </c>
      <c r="E45" s="12" t="n">
        <v>277</v>
      </c>
    </row>
    <row r="46">
      <c r="A46" s="10" t="n">
        <v>45047</v>
      </c>
      <c r="B46" s="9" t="inlineStr">
        <is>
          <t>Enterprise</t>
        </is>
      </c>
      <c r="C46" s="9" t="inlineStr">
        <is>
          <t>Content</t>
        </is>
      </c>
      <c r="D46" s="14" t="n">
        <v>3767.81</v>
      </c>
      <c r="E46" s="12" t="n">
        <v>1</v>
      </c>
    </row>
    <row r="47">
      <c r="A47" s="10" t="n">
        <v>45047</v>
      </c>
      <c r="B47" s="9" t="inlineStr">
        <is>
          <t>Enterprise</t>
        </is>
      </c>
      <c r="C47" s="9" t="inlineStr">
        <is>
          <t>Sales Team</t>
        </is>
      </c>
      <c r="D47" s="14" t="n">
        <v>23639.04</v>
      </c>
      <c r="E47" s="12" t="n">
        <v>6</v>
      </c>
    </row>
    <row r="48">
      <c r="A48" s="10" t="n">
        <v>45047</v>
      </c>
      <c r="B48" s="9" t="inlineStr">
        <is>
          <t>SMB</t>
        </is>
      </c>
      <c r="C48" s="9" t="inlineStr">
        <is>
          <t>Content</t>
        </is>
      </c>
      <c r="D48" s="14" t="n">
        <v>2408.56</v>
      </c>
      <c r="E48" s="12" t="n">
        <v>7</v>
      </c>
    </row>
    <row r="49">
      <c r="A49" s="10" t="n">
        <v>45047</v>
      </c>
      <c r="B49" s="9" t="inlineStr">
        <is>
          <t>SMB</t>
        </is>
      </c>
      <c r="C49" s="9" t="inlineStr">
        <is>
          <t>Paid Search</t>
        </is>
      </c>
      <c r="D49" s="14" t="n">
        <v>6239.54</v>
      </c>
      <c r="E49" s="12" t="n">
        <v>14</v>
      </c>
    </row>
    <row r="50">
      <c r="A50" s="10" t="n">
        <v>45047</v>
      </c>
      <c r="B50" s="9" t="inlineStr">
        <is>
          <t>SMB</t>
        </is>
      </c>
      <c r="C50" s="9" t="inlineStr">
        <is>
          <t>Paid Social</t>
        </is>
      </c>
      <c r="D50" s="14" t="n">
        <v>4234.44</v>
      </c>
      <c r="E50" s="12" t="n">
        <v>10</v>
      </c>
    </row>
    <row r="51">
      <c r="A51" s="10" t="n">
        <v>45078</v>
      </c>
      <c r="B51" s="9" t="inlineStr">
        <is>
          <t>B2C</t>
        </is>
      </c>
      <c r="C51" s="9" t="inlineStr">
        <is>
          <t>Content</t>
        </is>
      </c>
      <c r="D51" s="14" t="n">
        <v>6069.89</v>
      </c>
      <c r="E51" s="12" t="n">
        <v>213</v>
      </c>
    </row>
    <row r="52">
      <c r="A52" s="10" t="n">
        <v>45078</v>
      </c>
      <c r="B52" s="9" t="inlineStr">
        <is>
          <t>B2C</t>
        </is>
      </c>
      <c r="C52" s="9" t="inlineStr">
        <is>
          <t>Organic</t>
        </is>
      </c>
      <c r="D52" s="14" t="n">
        <v>4390.11</v>
      </c>
      <c r="E52" s="12" t="n">
        <v>299</v>
      </c>
    </row>
    <row r="53">
      <c r="A53" s="10" t="n">
        <v>45078</v>
      </c>
      <c r="B53" s="9" t="inlineStr">
        <is>
          <t>B2C</t>
        </is>
      </c>
      <c r="C53" s="9" t="inlineStr">
        <is>
          <t>Paid Search</t>
        </is>
      </c>
      <c r="D53" s="14" t="n">
        <v>19537.73</v>
      </c>
      <c r="E53" s="12" t="n">
        <v>359</v>
      </c>
    </row>
    <row r="54">
      <c r="A54" s="10" t="n">
        <v>45078</v>
      </c>
      <c r="B54" s="9" t="inlineStr">
        <is>
          <t>B2C</t>
        </is>
      </c>
      <c r="C54" s="9" t="inlineStr">
        <is>
          <t>Paid Social</t>
        </is>
      </c>
      <c r="D54" s="14" t="n">
        <v>12982.25</v>
      </c>
      <c r="E54" s="12" t="n">
        <v>280</v>
      </c>
    </row>
    <row r="55">
      <c r="A55" s="10" t="n">
        <v>45078</v>
      </c>
      <c r="B55" s="9" t="inlineStr">
        <is>
          <t>Enterprise</t>
        </is>
      </c>
      <c r="C55" s="9" t="inlineStr">
        <is>
          <t>Content</t>
        </is>
      </c>
      <c r="D55" s="14" t="n">
        <v>4165.85</v>
      </c>
      <c r="E55" s="12" t="n">
        <v>1</v>
      </c>
    </row>
    <row r="56">
      <c r="A56" s="10" t="n">
        <v>45078</v>
      </c>
      <c r="B56" s="9" t="inlineStr">
        <is>
          <t>Enterprise</t>
        </is>
      </c>
      <c r="C56" s="9" t="inlineStr">
        <is>
          <t>Sales Team</t>
        </is>
      </c>
      <c r="D56" s="14" t="n">
        <v>23117.35</v>
      </c>
      <c r="E56" s="12" t="n">
        <v>2</v>
      </c>
    </row>
    <row r="57">
      <c r="A57" s="10" t="n">
        <v>45078</v>
      </c>
      <c r="B57" s="9" t="inlineStr">
        <is>
          <t>SMB</t>
        </is>
      </c>
      <c r="C57" s="9" t="inlineStr">
        <is>
          <t>Content</t>
        </is>
      </c>
      <c r="D57" s="14" t="n">
        <v>2793.29</v>
      </c>
      <c r="E57" s="12" t="n">
        <v>8</v>
      </c>
    </row>
    <row r="58">
      <c r="A58" s="10" t="n">
        <v>45078</v>
      </c>
      <c r="B58" s="9" t="inlineStr">
        <is>
          <t>SMB</t>
        </is>
      </c>
      <c r="C58" s="9" t="inlineStr">
        <is>
          <t>Paid Search</t>
        </is>
      </c>
      <c r="D58" s="14" t="n">
        <v>6920.4</v>
      </c>
      <c r="E58" s="12" t="n">
        <v>24</v>
      </c>
    </row>
    <row r="59">
      <c r="A59" s="10" t="n">
        <v>45078</v>
      </c>
      <c r="B59" s="9" t="inlineStr">
        <is>
          <t>SMB</t>
        </is>
      </c>
      <c r="C59" s="9" t="inlineStr">
        <is>
          <t>Paid Social</t>
        </is>
      </c>
      <c r="D59" s="14" t="n">
        <v>4857.93</v>
      </c>
      <c r="E59" s="12" t="n">
        <v>15</v>
      </c>
    </row>
    <row r="60">
      <c r="A60" s="10" t="n">
        <v>45108</v>
      </c>
      <c r="B60" s="9" t="inlineStr">
        <is>
          <t>B2C</t>
        </is>
      </c>
      <c r="C60" s="9" t="inlineStr">
        <is>
          <t>Content</t>
        </is>
      </c>
      <c r="D60" s="14" t="n">
        <v>6313.92</v>
      </c>
      <c r="E60" s="12" t="n">
        <v>196</v>
      </c>
    </row>
    <row r="61">
      <c r="A61" s="10" t="n">
        <v>45108</v>
      </c>
      <c r="B61" s="9" t="inlineStr">
        <is>
          <t>B2C</t>
        </is>
      </c>
      <c r="C61" s="9" t="inlineStr">
        <is>
          <t>Organic</t>
        </is>
      </c>
      <c r="D61" s="14" t="n">
        <v>4359.98</v>
      </c>
      <c r="E61" s="12" t="n">
        <v>267</v>
      </c>
    </row>
    <row r="62">
      <c r="A62" s="10" t="n">
        <v>45108</v>
      </c>
      <c r="B62" s="9" t="inlineStr">
        <is>
          <t>B2C</t>
        </is>
      </c>
      <c r="C62" s="9" t="inlineStr">
        <is>
          <t>Paid Search</t>
        </is>
      </c>
      <c r="D62" s="14" t="n">
        <v>20349.85</v>
      </c>
      <c r="E62" s="12" t="n">
        <v>434</v>
      </c>
    </row>
    <row r="63">
      <c r="A63" s="10" t="n">
        <v>45108</v>
      </c>
      <c r="B63" s="9" t="inlineStr">
        <is>
          <t>B2C</t>
        </is>
      </c>
      <c r="C63" s="9" t="inlineStr">
        <is>
          <t>Paid Social</t>
        </is>
      </c>
      <c r="D63" s="14" t="n">
        <v>14220.81</v>
      </c>
      <c r="E63" s="12" t="n">
        <v>289</v>
      </c>
    </row>
    <row r="64">
      <c r="A64" s="10" t="n">
        <v>45108</v>
      </c>
      <c r="B64" s="9" t="inlineStr">
        <is>
          <t>Enterprise</t>
        </is>
      </c>
      <c r="C64" s="9" t="inlineStr">
        <is>
          <t>Content</t>
        </is>
      </c>
      <c r="D64" s="14" t="n">
        <v>4569.83</v>
      </c>
      <c r="E64" s="12" t="n">
        <v>1</v>
      </c>
    </row>
    <row r="65">
      <c r="A65" s="10" t="n">
        <v>45108</v>
      </c>
      <c r="B65" s="9" t="inlineStr">
        <is>
          <t>Enterprise</t>
        </is>
      </c>
      <c r="C65" s="9" t="inlineStr">
        <is>
          <t>Sales Team</t>
        </is>
      </c>
      <c r="D65" s="14" t="n">
        <v>22027.32</v>
      </c>
      <c r="E65" s="12" t="n">
        <v>2</v>
      </c>
    </row>
    <row r="66">
      <c r="A66" s="10" t="n">
        <v>45108</v>
      </c>
      <c r="B66" s="9" t="inlineStr">
        <is>
          <t>SMB</t>
        </is>
      </c>
      <c r="C66" s="9" t="inlineStr">
        <is>
          <t>Content</t>
        </is>
      </c>
      <c r="D66" s="14" t="n">
        <v>3040.64</v>
      </c>
      <c r="E66" s="12" t="n">
        <v>10</v>
      </c>
    </row>
    <row r="67">
      <c r="A67" s="10" t="n">
        <v>45108</v>
      </c>
      <c r="B67" s="9" t="inlineStr">
        <is>
          <t>SMB</t>
        </is>
      </c>
      <c r="C67" s="9" t="inlineStr">
        <is>
          <t>Paid Search</t>
        </is>
      </c>
      <c r="D67" s="14" t="n">
        <v>6623.64</v>
      </c>
      <c r="E67" s="12" t="n">
        <v>15</v>
      </c>
    </row>
    <row r="68">
      <c r="A68" s="10" t="n">
        <v>45108</v>
      </c>
      <c r="B68" s="9" t="inlineStr">
        <is>
          <t>SMB</t>
        </is>
      </c>
      <c r="C68" s="9" t="inlineStr">
        <is>
          <t>Paid Social</t>
        </is>
      </c>
      <c r="D68" s="14" t="n">
        <v>3941.96</v>
      </c>
      <c r="E68" s="12" t="n">
        <v>9</v>
      </c>
    </row>
    <row r="69">
      <c r="A69" s="10" t="n">
        <v>45139</v>
      </c>
      <c r="B69" s="9" t="inlineStr">
        <is>
          <t>B2C</t>
        </is>
      </c>
      <c r="C69" s="9" t="inlineStr">
        <is>
          <t>Content</t>
        </is>
      </c>
      <c r="D69" s="14" t="n">
        <v>8049.37</v>
      </c>
      <c r="E69" s="12" t="n">
        <v>223</v>
      </c>
    </row>
    <row r="70">
      <c r="A70" s="10" t="n">
        <v>45139</v>
      </c>
      <c r="B70" s="9" t="inlineStr">
        <is>
          <t>B2C</t>
        </is>
      </c>
      <c r="C70" s="9" t="inlineStr">
        <is>
          <t>Organic</t>
        </is>
      </c>
      <c r="D70" s="14" t="n">
        <v>4491.73</v>
      </c>
      <c r="E70" s="12" t="n">
        <v>347</v>
      </c>
    </row>
    <row r="71">
      <c r="A71" s="10" t="n">
        <v>45139</v>
      </c>
      <c r="B71" s="9" t="inlineStr">
        <is>
          <t>B2C</t>
        </is>
      </c>
      <c r="C71" s="9" t="inlineStr">
        <is>
          <t>Paid Search</t>
        </is>
      </c>
      <c r="D71" s="14" t="n">
        <v>22732.28</v>
      </c>
      <c r="E71" s="12" t="n">
        <v>556</v>
      </c>
    </row>
    <row r="72">
      <c r="A72" s="10" t="n">
        <v>45139</v>
      </c>
      <c r="B72" s="9" t="inlineStr">
        <is>
          <t>B2C</t>
        </is>
      </c>
      <c r="C72" s="9" t="inlineStr">
        <is>
          <t>Paid Social</t>
        </is>
      </c>
      <c r="D72" s="14" t="n">
        <v>16143.26</v>
      </c>
      <c r="E72" s="12" t="n">
        <v>350</v>
      </c>
    </row>
    <row r="73">
      <c r="A73" s="10" t="n">
        <v>45139</v>
      </c>
      <c r="B73" s="9" t="inlineStr">
        <is>
          <t>Enterprise</t>
        </is>
      </c>
      <c r="C73" s="9" t="inlineStr">
        <is>
          <t>Content</t>
        </is>
      </c>
      <c r="D73" s="14" t="n">
        <v>4776.49</v>
      </c>
      <c r="E73" s="12" t="n">
        <v>1</v>
      </c>
    </row>
    <row r="74">
      <c r="A74" s="10" t="n">
        <v>45139</v>
      </c>
      <c r="B74" s="9" t="inlineStr">
        <is>
          <t>Enterprise</t>
        </is>
      </c>
      <c r="C74" s="9" t="inlineStr">
        <is>
          <t>Sales Team</t>
        </is>
      </c>
      <c r="D74" s="14" t="n">
        <v>27342.69</v>
      </c>
      <c r="E74" s="12" t="n">
        <v>6</v>
      </c>
    </row>
    <row r="75">
      <c r="A75" s="10" t="n">
        <v>45139</v>
      </c>
      <c r="B75" s="9" t="inlineStr">
        <is>
          <t>SMB</t>
        </is>
      </c>
      <c r="C75" s="9" t="inlineStr">
        <is>
          <t>Content</t>
        </is>
      </c>
      <c r="D75" s="14" t="n">
        <v>3411.32</v>
      </c>
      <c r="E75" s="12" t="n">
        <v>15</v>
      </c>
    </row>
    <row r="76">
      <c r="A76" s="10" t="n">
        <v>45139</v>
      </c>
      <c r="B76" s="9" t="inlineStr">
        <is>
          <t>SMB</t>
        </is>
      </c>
      <c r="C76" s="9" t="inlineStr">
        <is>
          <t>Paid Search</t>
        </is>
      </c>
      <c r="D76" s="14" t="n">
        <v>7111.54</v>
      </c>
      <c r="E76" s="12" t="n">
        <v>23</v>
      </c>
    </row>
    <row r="77">
      <c r="A77" s="10" t="n">
        <v>45139</v>
      </c>
      <c r="B77" s="9" t="inlineStr">
        <is>
          <t>SMB</t>
        </is>
      </c>
      <c r="C77" s="9" t="inlineStr">
        <is>
          <t>Paid Social</t>
        </is>
      </c>
      <c r="D77" s="14" t="n">
        <v>4323.59</v>
      </c>
      <c r="E77" s="12" t="n">
        <v>11</v>
      </c>
    </row>
    <row r="78">
      <c r="A78" s="10" t="n">
        <v>45170</v>
      </c>
      <c r="B78" s="9" t="inlineStr">
        <is>
          <t>B2C</t>
        </is>
      </c>
      <c r="C78" s="9" t="inlineStr">
        <is>
          <t>Content</t>
        </is>
      </c>
      <c r="D78" s="14" t="n">
        <v>6568.74</v>
      </c>
      <c r="E78" s="12" t="n">
        <v>236</v>
      </c>
    </row>
    <row r="79">
      <c r="A79" s="10" t="n">
        <v>45170</v>
      </c>
      <c r="B79" s="9" t="inlineStr">
        <is>
          <t>B2C</t>
        </is>
      </c>
      <c r="C79" s="9" t="inlineStr">
        <is>
          <t>Organic</t>
        </is>
      </c>
      <c r="D79" s="14" t="n">
        <v>4228.06</v>
      </c>
      <c r="E79" s="12" t="n">
        <v>278</v>
      </c>
    </row>
    <row r="80">
      <c r="A80" s="10" t="n">
        <v>45170</v>
      </c>
      <c r="B80" s="9" t="inlineStr">
        <is>
          <t>B2C</t>
        </is>
      </c>
      <c r="C80" s="9" t="inlineStr">
        <is>
          <t>Paid Search</t>
        </is>
      </c>
      <c r="D80" s="14" t="n">
        <v>18528.27</v>
      </c>
      <c r="E80" s="12" t="n">
        <v>429</v>
      </c>
    </row>
    <row r="81">
      <c r="A81" s="10" t="n">
        <v>45170</v>
      </c>
      <c r="B81" s="9" t="inlineStr">
        <is>
          <t>B2C</t>
        </is>
      </c>
      <c r="C81" s="9" t="inlineStr">
        <is>
          <t>Paid Social</t>
        </is>
      </c>
      <c r="D81" s="14" t="n">
        <v>18994.6</v>
      </c>
      <c r="E81" s="12" t="n">
        <v>386</v>
      </c>
    </row>
    <row r="82">
      <c r="A82" s="10" t="n">
        <v>45170</v>
      </c>
      <c r="B82" s="9" t="inlineStr">
        <is>
          <t>Enterprise</t>
        </is>
      </c>
      <c r="C82" s="9" t="inlineStr">
        <is>
          <t>Content</t>
        </is>
      </c>
      <c r="D82" s="14" t="n">
        <v>5028.64</v>
      </c>
      <c r="E82" s="12" t="n">
        <v>1</v>
      </c>
    </row>
    <row r="83">
      <c r="A83" s="10" t="n">
        <v>45170</v>
      </c>
      <c r="B83" s="9" t="inlineStr">
        <is>
          <t>Enterprise</t>
        </is>
      </c>
      <c r="C83" s="9" t="inlineStr">
        <is>
          <t>Sales Team</t>
        </is>
      </c>
      <c r="D83" s="14" t="n">
        <v>25687.94</v>
      </c>
      <c r="E83" s="12" t="n">
        <v>3</v>
      </c>
    </row>
    <row r="84">
      <c r="A84" s="10" t="n">
        <v>45170</v>
      </c>
      <c r="B84" s="9" t="inlineStr">
        <is>
          <t>SMB</t>
        </is>
      </c>
      <c r="C84" s="9" t="inlineStr">
        <is>
          <t>Content</t>
        </is>
      </c>
      <c r="D84" s="14" t="n">
        <v>3532.28</v>
      </c>
      <c r="E84" s="12" t="n">
        <v>12</v>
      </c>
    </row>
    <row r="85">
      <c r="A85" s="10" t="n">
        <v>45170</v>
      </c>
      <c r="B85" s="9" t="inlineStr">
        <is>
          <t>SMB</t>
        </is>
      </c>
      <c r="C85" s="9" t="inlineStr">
        <is>
          <t>Paid Search</t>
        </is>
      </c>
      <c r="D85" s="14" t="n">
        <v>7890.43</v>
      </c>
      <c r="E85" s="12" t="n">
        <v>16</v>
      </c>
    </row>
    <row r="86">
      <c r="A86" s="10" t="n">
        <v>45170</v>
      </c>
      <c r="B86" s="9" t="inlineStr">
        <is>
          <t>SMB</t>
        </is>
      </c>
      <c r="C86" s="9" t="inlineStr">
        <is>
          <t>Paid Social</t>
        </is>
      </c>
      <c r="D86" s="14" t="n">
        <v>5330.44</v>
      </c>
      <c r="E86" s="12" t="n">
        <v>10</v>
      </c>
    </row>
    <row r="87">
      <c r="A87" s="10" t="n">
        <v>45200</v>
      </c>
      <c r="B87" s="9" t="inlineStr">
        <is>
          <t>B2C</t>
        </is>
      </c>
      <c r="C87" s="9" t="inlineStr">
        <is>
          <t>Content</t>
        </is>
      </c>
      <c r="D87" s="14" t="n">
        <v>7546.46</v>
      </c>
      <c r="E87" s="12" t="n">
        <v>280</v>
      </c>
    </row>
    <row r="88">
      <c r="A88" s="10" t="n">
        <v>45200</v>
      </c>
      <c r="B88" s="9" t="inlineStr">
        <is>
          <t>B2C</t>
        </is>
      </c>
      <c r="C88" s="9" t="inlineStr">
        <is>
          <t>Organic</t>
        </is>
      </c>
      <c r="D88" s="14" t="n">
        <v>4336.89</v>
      </c>
      <c r="E88" s="12" t="n">
        <v>283</v>
      </c>
    </row>
    <row r="89">
      <c r="A89" s="10" t="n">
        <v>45200</v>
      </c>
      <c r="B89" s="9" t="inlineStr">
        <is>
          <t>B2C</t>
        </is>
      </c>
      <c r="C89" s="9" t="inlineStr">
        <is>
          <t>Paid Search</t>
        </is>
      </c>
      <c r="D89" s="14" t="n">
        <v>21544.45</v>
      </c>
      <c r="E89" s="12" t="n">
        <v>451</v>
      </c>
    </row>
    <row r="90">
      <c r="A90" s="10" t="n">
        <v>45200</v>
      </c>
      <c r="B90" s="9" t="inlineStr">
        <is>
          <t>B2C</t>
        </is>
      </c>
      <c r="C90" s="9" t="inlineStr">
        <is>
          <t>Paid Social</t>
        </is>
      </c>
      <c r="D90" s="14" t="n">
        <v>15558.68</v>
      </c>
      <c r="E90" s="12" t="n">
        <v>287</v>
      </c>
    </row>
    <row r="91">
      <c r="A91" s="10" t="n">
        <v>45200</v>
      </c>
      <c r="B91" s="9" t="inlineStr">
        <is>
          <t>Enterprise</t>
        </is>
      </c>
      <c r="C91" s="9" t="inlineStr">
        <is>
          <t>Content</t>
        </is>
      </c>
      <c r="D91" s="14" t="n">
        <v>4583.02</v>
      </c>
      <c r="E91" s="12" t="n">
        <v>1</v>
      </c>
    </row>
    <row r="92">
      <c r="A92" s="10" t="n">
        <v>45200</v>
      </c>
      <c r="B92" s="9" t="inlineStr">
        <is>
          <t>Enterprise</t>
        </is>
      </c>
      <c r="C92" s="9" t="inlineStr">
        <is>
          <t>Sales Team</t>
        </is>
      </c>
      <c r="D92" s="14" t="n">
        <v>27162.32</v>
      </c>
      <c r="E92" s="12" t="n">
        <v>5</v>
      </c>
    </row>
    <row r="93">
      <c r="A93" s="10" t="n">
        <v>45200</v>
      </c>
      <c r="B93" s="9" t="inlineStr">
        <is>
          <t>SMB</t>
        </is>
      </c>
      <c r="C93" s="9" t="inlineStr">
        <is>
          <t>Content</t>
        </is>
      </c>
      <c r="D93" s="14" t="n">
        <v>2941.91</v>
      </c>
      <c r="E93" s="12" t="n">
        <v>12</v>
      </c>
    </row>
    <row r="94">
      <c r="A94" s="10" t="n">
        <v>45200</v>
      </c>
      <c r="B94" s="9" t="inlineStr">
        <is>
          <t>SMB</t>
        </is>
      </c>
      <c r="C94" s="9" t="inlineStr">
        <is>
          <t>Paid Search</t>
        </is>
      </c>
      <c r="D94" s="14" t="n">
        <v>7656.65</v>
      </c>
      <c r="E94" s="12" t="n">
        <v>16</v>
      </c>
    </row>
    <row r="95">
      <c r="A95" s="10" t="n">
        <v>45200</v>
      </c>
      <c r="B95" s="9" t="inlineStr">
        <is>
          <t>SMB</t>
        </is>
      </c>
      <c r="C95" s="9" t="inlineStr">
        <is>
          <t>Paid Social</t>
        </is>
      </c>
      <c r="D95" s="14" t="n">
        <v>4509.64</v>
      </c>
      <c r="E95" s="12" t="n">
        <v>12</v>
      </c>
    </row>
    <row r="96">
      <c r="A96" s="10" t="n">
        <v>45231</v>
      </c>
      <c r="B96" s="9" t="inlineStr">
        <is>
          <t>B2C</t>
        </is>
      </c>
      <c r="C96" s="9" t="inlineStr">
        <is>
          <t>Content</t>
        </is>
      </c>
      <c r="D96" s="14" t="n">
        <v>6857.58</v>
      </c>
      <c r="E96" s="12" t="n">
        <v>192</v>
      </c>
    </row>
    <row r="97">
      <c r="A97" s="10" t="n">
        <v>45231</v>
      </c>
      <c r="B97" s="9" t="inlineStr">
        <is>
          <t>B2C</t>
        </is>
      </c>
      <c r="C97" s="9" t="inlineStr">
        <is>
          <t>Organic</t>
        </is>
      </c>
      <c r="D97" s="14" t="n">
        <v>5009.14</v>
      </c>
      <c r="E97" s="12" t="n">
        <v>379</v>
      </c>
    </row>
    <row r="98">
      <c r="A98" s="10" t="n">
        <v>45231</v>
      </c>
      <c r="B98" s="9" t="inlineStr">
        <is>
          <t>B2C</t>
        </is>
      </c>
      <c r="C98" s="9" t="inlineStr">
        <is>
          <t>Paid Search</t>
        </is>
      </c>
      <c r="D98" s="14" t="n">
        <v>25146.25</v>
      </c>
      <c r="E98" s="12" t="n">
        <v>547</v>
      </c>
    </row>
    <row r="99">
      <c r="A99" s="10" t="n">
        <v>45231</v>
      </c>
      <c r="B99" s="9" t="inlineStr">
        <is>
          <t>B2C</t>
        </is>
      </c>
      <c r="C99" s="9" t="inlineStr">
        <is>
          <t>Paid Social</t>
        </is>
      </c>
      <c r="D99" s="14" t="n">
        <v>18329.49</v>
      </c>
      <c r="E99" s="12" t="n">
        <v>288</v>
      </c>
    </row>
    <row r="100">
      <c r="A100" s="10" t="n">
        <v>45231</v>
      </c>
      <c r="B100" s="9" t="inlineStr">
        <is>
          <t>Enterprise</t>
        </is>
      </c>
      <c r="C100" s="9" t="inlineStr">
        <is>
          <t>Content</t>
        </is>
      </c>
      <c r="D100" s="14" t="n">
        <v>5170.01</v>
      </c>
      <c r="E100" s="12" t="n">
        <v>1</v>
      </c>
    </row>
    <row r="101">
      <c r="A101" s="10" t="n">
        <v>45231</v>
      </c>
      <c r="B101" s="9" t="inlineStr">
        <is>
          <t>Enterprise</t>
        </is>
      </c>
      <c r="C101" s="9" t="inlineStr">
        <is>
          <t>Sales Team</t>
        </is>
      </c>
      <c r="D101" s="14" t="n">
        <v>30227.28</v>
      </c>
      <c r="E101" s="12" t="n">
        <v>5</v>
      </c>
    </row>
    <row r="102">
      <c r="A102" s="10" t="n">
        <v>45231</v>
      </c>
      <c r="B102" s="9" t="inlineStr">
        <is>
          <t>SMB</t>
        </is>
      </c>
      <c r="C102" s="9" t="inlineStr">
        <is>
          <t>Content</t>
        </is>
      </c>
      <c r="D102" s="14" t="n">
        <v>3577.19</v>
      </c>
      <c r="E102" s="12" t="n">
        <v>13</v>
      </c>
    </row>
    <row r="103">
      <c r="A103" s="10" t="n">
        <v>45231</v>
      </c>
      <c r="B103" s="9" t="inlineStr">
        <is>
          <t>SMB</t>
        </is>
      </c>
      <c r="C103" s="9" t="inlineStr">
        <is>
          <t>Paid Search</t>
        </is>
      </c>
      <c r="D103" s="14" t="n">
        <v>9379.08</v>
      </c>
      <c r="E103" s="12" t="n">
        <v>22</v>
      </c>
    </row>
    <row r="104">
      <c r="A104" s="10" t="n">
        <v>45231</v>
      </c>
      <c r="B104" s="9" t="inlineStr">
        <is>
          <t>SMB</t>
        </is>
      </c>
      <c r="C104" s="9" t="inlineStr">
        <is>
          <t>Paid Social</t>
        </is>
      </c>
      <c r="D104" s="14" t="n">
        <v>5323.17</v>
      </c>
      <c r="E104" s="12" t="n">
        <v>10</v>
      </c>
    </row>
    <row r="105">
      <c r="A105" s="10" t="n">
        <v>45261</v>
      </c>
      <c r="B105" s="9" t="inlineStr">
        <is>
          <t>B2C</t>
        </is>
      </c>
      <c r="C105" s="9" t="inlineStr">
        <is>
          <t>Content</t>
        </is>
      </c>
      <c r="D105" s="14" t="n">
        <v>9401.459999999999</v>
      </c>
      <c r="E105" s="12" t="n">
        <v>370</v>
      </c>
    </row>
    <row r="106">
      <c r="A106" s="10" t="n">
        <v>45261</v>
      </c>
      <c r="B106" s="9" t="inlineStr">
        <is>
          <t>B2C</t>
        </is>
      </c>
      <c r="C106" s="9" t="inlineStr">
        <is>
          <t>Organic</t>
        </is>
      </c>
      <c r="D106" s="14" t="n">
        <v>5736.57</v>
      </c>
      <c r="E106" s="12" t="n">
        <v>407</v>
      </c>
    </row>
    <row r="107">
      <c r="A107" s="10" t="n">
        <v>45261</v>
      </c>
      <c r="B107" s="9" t="inlineStr">
        <is>
          <t>B2C</t>
        </is>
      </c>
      <c r="C107" s="9" t="inlineStr">
        <is>
          <t>Paid Search</t>
        </is>
      </c>
      <c r="D107" s="14" t="n">
        <v>26889.67</v>
      </c>
      <c r="E107" s="12" t="n">
        <v>675</v>
      </c>
    </row>
    <row r="108">
      <c r="A108" s="10" t="n">
        <v>45261</v>
      </c>
      <c r="B108" s="9" t="inlineStr">
        <is>
          <t>B2C</t>
        </is>
      </c>
      <c r="C108" s="9" t="inlineStr">
        <is>
          <t>Paid Social</t>
        </is>
      </c>
      <c r="D108" s="14" t="n">
        <v>15830.85</v>
      </c>
      <c r="E108" s="12" t="n">
        <v>319</v>
      </c>
    </row>
    <row r="109">
      <c r="A109" s="10" t="n">
        <v>45261</v>
      </c>
      <c r="B109" s="9" t="inlineStr">
        <is>
          <t>Enterprise</t>
        </is>
      </c>
      <c r="C109" s="9" t="inlineStr">
        <is>
          <t>Content</t>
        </is>
      </c>
      <c r="D109" s="14" t="n">
        <v>5073.57</v>
      </c>
      <c r="E109" s="12" t="n">
        <v>1</v>
      </c>
    </row>
    <row r="110">
      <c r="A110" s="10" t="n">
        <v>45261</v>
      </c>
      <c r="B110" s="9" t="inlineStr">
        <is>
          <t>Enterprise</t>
        </is>
      </c>
      <c r="C110" s="9" t="inlineStr">
        <is>
          <t>Sales Team</t>
        </is>
      </c>
      <c r="D110" s="14" t="n">
        <v>31321.49</v>
      </c>
      <c r="E110" s="12" t="n">
        <v>5</v>
      </c>
    </row>
    <row r="111">
      <c r="A111" s="10" t="n">
        <v>45261</v>
      </c>
      <c r="B111" s="9" t="inlineStr">
        <is>
          <t>SMB</t>
        </is>
      </c>
      <c r="C111" s="9" t="inlineStr">
        <is>
          <t>Content</t>
        </is>
      </c>
      <c r="D111" s="14" t="n">
        <v>3170.76</v>
      </c>
      <c r="E111" s="12" t="n">
        <v>9</v>
      </c>
    </row>
    <row r="112">
      <c r="A112" s="10" t="n">
        <v>45261</v>
      </c>
      <c r="B112" s="9" t="inlineStr">
        <is>
          <t>SMB</t>
        </is>
      </c>
      <c r="C112" s="9" t="inlineStr">
        <is>
          <t>Paid Search</t>
        </is>
      </c>
      <c r="D112" s="14" t="n">
        <v>10367.1</v>
      </c>
      <c r="E112" s="12" t="n">
        <v>26</v>
      </c>
    </row>
    <row r="113">
      <c r="A113" s="10" t="n">
        <v>45261</v>
      </c>
      <c r="B113" s="9" t="inlineStr">
        <is>
          <t>SMB</t>
        </is>
      </c>
      <c r="C113" s="9" t="inlineStr">
        <is>
          <t>Paid Social</t>
        </is>
      </c>
      <c r="D113" s="14" t="n">
        <v>6205.11</v>
      </c>
      <c r="E113" s="12" t="n">
        <v>19</v>
      </c>
    </row>
    <row r="114">
      <c r="A114" s="10" t="n">
        <v>45292</v>
      </c>
      <c r="B114" s="9" t="inlineStr">
        <is>
          <t>B2C</t>
        </is>
      </c>
      <c r="C114" s="9" t="inlineStr">
        <is>
          <t>Content</t>
        </is>
      </c>
      <c r="D114" s="14" t="n">
        <v>7542.5</v>
      </c>
      <c r="E114" s="12" t="n">
        <v>267</v>
      </c>
    </row>
    <row r="115">
      <c r="A115" s="10" t="n">
        <v>45292</v>
      </c>
      <c r="B115" s="9" t="inlineStr">
        <is>
          <t>B2C</t>
        </is>
      </c>
      <c r="C115" s="9" t="inlineStr">
        <is>
          <t>Organic</t>
        </is>
      </c>
      <c r="D115" s="14" t="n">
        <v>5322.67</v>
      </c>
      <c r="E115" s="12" t="n">
        <v>357</v>
      </c>
    </row>
    <row r="116">
      <c r="A116" s="10" t="n">
        <v>45292</v>
      </c>
      <c r="B116" s="9" t="inlineStr">
        <is>
          <t>B2C</t>
        </is>
      </c>
      <c r="C116" s="9" t="inlineStr">
        <is>
          <t>Paid Search</t>
        </is>
      </c>
      <c r="D116" s="14" t="n">
        <v>26911.41</v>
      </c>
      <c r="E116" s="12" t="n">
        <v>520</v>
      </c>
    </row>
    <row r="117">
      <c r="A117" s="10" t="n">
        <v>45292</v>
      </c>
      <c r="B117" s="9" t="inlineStr">
        <is>
          <t>B2C</t>
        </is>
      </c>
      <c r="C117" s="9" t="inlineStr">
        <is>
          <t>Paid Social</t>
        </is>
      </c>
      <c r="D117" s="14" t="n">
        <v>18093.99</v>
      </c>
      <c r="E117" s="12" t="n">
        <v>392</v>
      </c>
    </row>
    <row r="118">
      <c r="A118" s="10" t="n">
        <v>45292</v>
      </c>
      <c r="B118" s="9" t="inlineStr">
        <is>
          <t>Enterprise</t>
        </is>
      </c>
      <c r="C118" s="9" t="inlineStr">
        <is>
          <t>Content</t>
        </is>
      </c>
      <c r="D118" s="14" t="n">
        <v>5654.1</v>
      </c>
      <c r="E118" s="12" t="n">
        <v>1</v>
      </c>
    </row>
    <row r="119">
      <c r="A119" s="10" t="n">
        <v>45292</v>
      </c>
      <c r="B119" s="9" t="inlineStr">
        <is>
          <t>Enterprise</t>
        </is>
      </c>
      <c r="C119" s="9" t="inlineStr">
        <is>
          <t>Sales Team</t>
        </is>
      </c>
      <c r="D119" s="14" t="n">
        <v>29331.07</v>
      </c>
      <c r="E119" s="12" t="n">
        <v>5</v>
      </c>
    </row>
    <row r="120">
      <c r="A120" s="10" t="n">
        <v>45292</v>
      </c>
      <c r="B120" s="9" t="inlineStr">
        <is>
          <t>SMB</t>
        </is>
      </c>
      <c r="C120" s="9" t="inlineStr">
        <is>
          <t>Content</t>
        </is>
      </c>
      <c r="D120" s="14" t="n">
        <v>4022.42</v>
      </c>
      <c r="E120" s="12" t="n">
        <v>13</v>
      </c>
    </row>
    <row r="121">
      <c r="A121" s="10" t="n">
        <v>45292</v>
      </c>
      <c r="B121" s="9" t="inlineStr">
        <is>
          <t>SMB</t>
        </is>
      </c>
      <c r="C121" s="9" t="inlineStr">
        <is>
          <t>Paid Search</t>
        </is>
      </c>
      <c r="D121" s="14" t="n">
        <v>9260.780000000001</v>
      </c>
      <c r="E121" s="12" t="n">
        <v>20</v>
      </c>
    </row>
    <row r="122">
      <c r="A122" s="10" t="n">
        <v>45292</v>
      </c>
      <c r="B122" s="9" t="inlineStr">
        <is>
          <t>SMB</t>
        </is>
      </c>
      <c r="C122" s="9" t="inlineStr">
        <is>
          <t>Paid Social</t>
        </is>
      </c>
      <c r="D122" s="14" t="n">
        <v>5216.73</v>
      </c>
      <c r="E122" s="12" t="n">
        <v>9</v>
      </c>
    </row>
    <row r="123">
      <c r="A123" s="10" t="n">
        <v>45323</v>
      </c>
      <c r="B123" s="9" t="inlineStr">
        <is>
          <t>B2C</t>
        </is>
      </c>
      <c r="C123" s="9" t="inlineStr">
        <is>
          <t>Content</t>
        </is>
      </c>
      <c r="D123" s="14" t="n">
        <v>9087.309999999999</v>
      </c>
      <c r="E123" s="12" t="n">
        <v>274</v>
      </c>
    </row>
    <row r="124">
      <c r="A124" s="10" t="n">
        <v>45323</v>
      </c>
      <c r="B124" s="9" t="inlineStr">
        <is>
          <t>B2C</t>
        </is>
      </c>
      <c r="C124" s="9" t="inlineStr">
        <is>
          <t>Organic</t>
        </is>
      </c>
      <c r="D124" s="14" t="n">
        <v>5684.1</v>
      </c>
      <c r="E124" s="12" t="n">
        <v>329</v>
      </c>
    </row>
    <row r="125">
      <c r="A125" s="10" t="n">
        <v>45323</v>
      </c>
      <c r="B125" s="9" t="inlineStr">
        <is>
          <t>B2C</t>
        </is>
      </c>
      <c r="C125" s="9" t="inlineStr">
        <is>
          <t>Paid Search</t>
        </is>
      </c>
      <c r="D125" s="14" t="n">
        <v>24321.42</v>
      </c>
      <c r="E125" s="12" t="n">
        <v>628</v>
      </c>
    </row>
    <row r="126">
      <c r="A126" s="10" t="n">
        <v>45323</v>
      </c>
      <c r="B126" s="9" t="inlineStr">
        <is>
          <t>B2C</t>
        </is>
      </c>
      <c r="C126" s="9" t="inlineStr">
        <is>
          <t>Paid Social</t>
        </is>
      </c>
      <c r="D126" s="14" t="n">
        <v>19344.21</v>
      </c>
      <c r="E126" s="12" t="n">
        <v>286</v>
      </c>
    </row>
    <row r="127">
      <c r="A127" s="10" t="n">
        <v>45323</v>
      </c>
      <c r="B127" s="9" t="inlineStr">
        <is>
          <t>Enterprise</t>
        </is>
      </c>
      <c r="C127" s="9" t="inlineStr">
        <is>
          <t>Content</t>
        </is>
      </c>
      <c r="D127" s="14" t="n">
        <v>5982.42</v>
      </c>
      <c r="E127" s="12" t="n">
        <v>2</v>
      </c>
    </row>
    <row r="128">
      <c r="A128" s="10" t="n">
        <v>45323</v>
      </c>
      <c r="B128" s="9" t="inlineStr">
        <is>
          <t>Enterprise</t>
        </is>
      </c>
      <c r="C128" s="9" t="inlineStr">
        <is>
          <t>Sales Team</t>
        </is>
      </c>
      <c r="D128" s="14" t="n">
        <v>29212.97</v>
      </c>
      <c r="E128" s="12" t="n">
        <v>3</v>
      </c>
    </row>
    <row r="129">
      <c r="A129" s="10" t="n">
        <v>45323</v>
      </c>
      <c r="B129" s="9" t="inlineStr">
        <is>
          <t>SMB</t>
        </is>
      </c>
      <c r="C129" s="9" t="inlineStr">
        <is>
          <t>Content</t>
        </is>
      </c>
      <c r="D129" s="14" t="n">
        <v>4207.35</v>
      </c>
      <c r="E129" s="12" t="n">
        <v>17</v>
      </c>
    </row>
    <row r="130">
      <c r="A130" s="10" t="n">
        <v>45323</v>
      </c>
      <c r="B130" s="9" t="inlineStr">
        <is>
          <t>SMB</t>
        </is>
      </c>
      <c r="C130" s="9" t="inlineStr">
        <is>
          <t>Paid Search</t>
        </is>
      </c>
      <c r="D130" s="14" t="n">
        <v>10868.34</v>
      </c>
      <c r="E130" s="12" t="n">
        <v>37</v>
      </c>
    </row>
    <row r="131">
      <c r="A131" s="10" t="n">
        <v>45323</v>
      </c>
      <c r="B131" s="9" t="inlineStr">
        <is>
          <t>SMB</t>
        </is>
      </c>
      <c r="C131" s="9" t="inlineStr">
        <is>
          <t>Paid Social</t>
        </is>
      </c>
      <c r="D131" s="14" t="n">
        <v>6600.47</v>
      </c>
      <c r="E131" s="12" t="n">
        <v>17</v>
      </c>
    </row>
    <row r="132">
      <c r="A132" s="10" t="n">
        <v>45352</v>
      </c>
      <c r="B132" s="9" t="inlineStr">
        <is>
          <t>B2C</t>
        </is>
      </c>
      <c r="C132" s="9" t="inlineStr">
        <is>
          <t>Content</t>
        </is>
      </c>
      <c r="D132" s="14" t="n">
        <v>10176.48</v>
      </c>
      <c r="E132" s="12" t="n">
        <v>390</v>
      </c>
    </row>
    <row r="133">
      <c r="A133" s="10" t="n">
        <v>45352</v>
      </c>
      <c r="B133" s="9" t="inlineStr">
        <is>
          <t>B2C</t>
        </is>
      </c>
      <c r="C133" s="9" t="inlineStr">
        <is>
          <t>Organic</t>
        </is>
      </c>
      <c r="D133" s="14" t="n">
        <v>5721.6</v>
      </c>
      <c r="E133" s="12" t="n">
        <v>416</v>
      </c>
    </row>
    <row r="134">
      <c r="A134" s="10" t="n">
        <v>45352</v>
      </c>
      <c r="B134" s="9" t="inlineStr">
        <is>
          <t>B2C</t>
        </is>
      </c>
      <c r="C134" s="9" t="inlineStr">
        <is>
          <t>Paid Search</t>
        </is>
      </c>
      <c r="D134" s="14" t="n">
        <v>29960.2</v>
      </c>
      <c r="E134" s="12" t="n">
        <v>656</v>
      </c>
    </row>
    <row r="135">
      <c r="A135" s="10" t="n">
        <v>45352</v>
      </c>
      <c r="B135" s="9" t="inlineStr">
        <is>
          <t>B2C</t>
        </is>
      </c>
      <c r="C135" s="9" t="inlineStr">
        <is>
          <t>Paid Social</t>
        </is>
      </c>
      <c r="D135" s="14" t="n">
        <v>21677.12</v>
      </c>
      <c r="E135" s="12" t="n">
        <v>444</v>
      </c>
    </row>
    <row r="136">
      <c r="A136" s="10" t="n">
        <v>45352</v>
      </c>
      <c r="B136" s="9" t="inlineStr">
        <is>
          <t>Enterprise</t>
        </is>
      </c>
      <c r="C136" s="9" t="inlineStr">
        <is>
          <t>Content</t>
        </is>
      </c>
      <c r="D136" s="14" t="n">
        <v>5277.79</v>
      </c>
      <c r="E136" s="12" t="n">
        <v>2</v>
      </c>
    </row>
    <row r="137">
      <c r="A137" s="10" t="n">
        <v>45352</v>
      </c>
      <c r="B137" s="9" t="inlineStr">
        <is>
          <t>Enterprise</t>
        </is>
      </c>
      <c r="C137" s="9" t="inlineStr">
        <is>
          <t>Sales Team</t>
        </is>
      </c>
      <c r="D137" s="14" t="n">
        <v>31130.27</v>
      </c>
      <c r="E137" s="12" t="n">
        <v>8</v>
      </c>
    </row>
    <row r="138">
      <c r="A138" s="10" t="n">
        <v>45352</v>
      </c>
      <c r="B138" s="9" t="inlineStr">
        <is>
          <t>SMB</t>
        </is>
      </c>
      <c r="C138" s="9" t="inlineStr">
        <is>
          <t>Content</t>
        </is>
      </c>
      <c r="D138" s="14" t="n">
        <v>4497.91</v>
      </c>
      <c r="E138" s="12" t="n">
        <v>19</v>
      </c>
    </row>
    <row r="139">
      <c r="A139" s="10" t="n">
        <v>45352</v>
      </c>
      <c r="B139" s="9" t="inlineStr">
        <is>
          <t>SMB</t>
        </is>
      </c>
      <c r="C139" s="9" t="inlineStr">
        <is>
          <t>Paid Search</t>
        </is>
      </c>
      <c r="D139" s="14" t="n">
        <v>10289.45</v>
      </c>
      <c r="E139" s="12" t="n">
        <v>25</v>
      </c>
    </row>
    <row r="140">
      <c r="A140" s="10" t="n">
        <v>45352</v>
      </c>
      <c r="B140" s="9" t="inlineStr">
        <is>
          <t>SMB</t>
        </is>
      </c>
      <c r="C140" s="9" t="inlineStr">
        <is>
          <t>Paid Social</t>
        </is>
      </c>
      <c r="D140" s="14" t="n">
        <v>5648.83</v>
      </c>
      <c r="E140" s="12" t="n">
        <v>11</v>
      </c>
    </row>
    <row r="141">
      <c r="A141" s="10" t="n">
        <v>45383</v>
      </c>
      <c r="B141" s="9" t="inlineStr">
        <is>
          <t>B2C</t>
        </is>
      </c>
      <c r="C141" s="9" t="inlineStr">
        <is>
          <t>Content</t>
        </is>
      </c>
      <c r="D141" s="14" t="n">
        <v>10821.99</v>
      </c>
      <c r="E141" s="12" t="n">
        <v>365</v>
      </c>
    </row>
    <row r="142">
      <c r="A142" s="10" t="n">
        <v>45383</v>
      </c>
      <c r="B142" s="9" t="inlineStr">
        <is>
          <t>B2C</t>
        </is>
      </c>
      <c r="C142" s="9" t="inlineStr">
        <is>
          <t>Organic</t>
        </is>
      </c>
      <c r="D142" s="14" t="n">
        <v>5854.55</v>
      </c>
      <c r="E142" s="12" t="n">
        <v>428</v>
      </c>
    </row>
    <row r="143">
      <c r="A143" s="10" t="n">
        <v>45383</v>
      </c>
      <c r="B143" s="9" t="inlineStr">
        <is>
          <t>B2C</t>
        </is>
      </c>
      <c r="C143" s="9" t="inlineStr">
        <is>
          <t>Paid Search</t>
        </is>
      </c>
      <c r="D143" s="14" t="n">
        <v>30820.09</v>
      </c>
      <c r="E143" s="12" t="n">
        <v>709</v>
      </c>
    </row>
    <row r="144">
      <c r="A144" s="10" t="n">
        <v>45383</v>
      </c>
      <c r="B144" s="9" t="inlineStr">
        <is>
          <t>B2C</t>
        </is>
      </c>
      <c r="C144" s="9" t="inlineStr">
        <is>
          <t>Paid Social</t>
        </is>
      </c>
      <c r="D144" s="14" t="n">
        <v>18735.6</v>
      </c>
      <c r="E144" s="12" t="n">
        <v>284</v>
      </c>
    </row>
    <row r="145">
      <c r="A145" s="10" t="n">
        <v>45383</v>
      </c>
      <c r="B145" s="9" t="inlineStr">
        <is>
          <t>Enterprise</t>
        </is>
      </c>
      <c r="C145" s="9" t="inlineStr">
        <is>
          <t>Content</t>
        </is>
      </c>
      <c r="D145" s="14" t="n">
        <v>6411.74</v>
      </c>
      <c r="E145" s="12" t="n">
        <v>1</v>
      </c>
    </row>
    <row r="146">
      <c r="A146" s="10" t="n">
        <v>45383</v>
      </c>
      <c r="B146" s="9" t="inlineStr">
        <is>
          <t>Enterprise</t>
        </is>
      </c>
      <c r="C146" s="9" t="inlineStr">
        <is>
          <t>Sales Team</t>
        </is>
      </c>
      <c r="D146" s="14" t="n">
        <v>32181.5</v>
      </c>
      <c r="E146" s="12" t="n">
        <v>5</v>
      </c>
    </row>
    <row r="147">
      <c r="A147" s="10" t="n">
        <v>45383</v>
      </c>
      <c r="B147" s="9" t="inlineStr">
        <is>
          <t>SMB</t>
        </is>
      </c>
      <c r="C147" s="9" t="inlineStr">
        <is>
          <t>Content</t>
        </is>
      </c>
      <c r="D147" s="14" t="n">
        <v>4467.4</v>
      </c>
      <c r="E147" s="12" t="n">
        <v>19</v>
      </c>
    </row>
    <row r="148">
      <c r="A148" s="10" t="n">
        <v>45383</v>
      </c>
      <c r="B148" s="9" t="inlineStr">
        <is>
          <t>SMB</t>
        </is>
      </c>
      <c r="C148" s="9" t="inlineStr">
        <is>
          <t>Paid Search</t>
        </is>
      </c>
      <c r="D148" s="14" t="n">
        <v>12196.56</v>
      </c>
      <c r="E148" s="12" t="n">
        <v>33</v>
      </c>
    </row>
    <row r="149">
      <c r="A149" s="10" t="n">
        <v>45383</v>
      </c>
      <c r="B149" s="9" t="inlineStr">
        <is>
          <t>SMB</t>
        </is>
      </c>
      <c r="C149" s="9" t="inlineStr">
        <is>
          <t>Paid Social</t>
        </is>
      </c>
      <c r="D149" s="14" t="n">
        <v>7055.92</v>
      </c>
      <c r="E149" s="12" t="n">
        <v>14</v>
      </c>
    </row>
    <row r="151">
      <c r="A151" s="3" t="inlineStr">
        <is>
          <t>Block B -- Support costs by category, incl. G&amp;A (stg_support_costs)</t>
        </is>
      </c>
      <c r="B151" s="4" t="n"/>
      <c r="C151" s="4" t="n"/>
      <c r="D151" s="4" t="n"/>
      <c r="E151" s="4" t="n"/>
      <c r="F151" s="4" t="n"/>
    </row>
    <row r="152">
      <c r="A152" s="6" t="inlineStr">
        <is>
          <t>month</t>
        </is>
      </c>
      <c r="B152" s="6" t="inlineStr">
        <is>
          <t>category</t>
        </is>
      </c>
      <c r="C152" s="6" t="inlineStr">
        <is>
          <t>amount</t>
        </is>
      </c>
    </row>
    <row r="153">
      <c r="A153" s="10" t="n">
        <v>44927</v>
      </c>
      <c r="B153" s="9" t="inlineStr">
        <is>
          <t>CS Salaries</t>
        </is>
      </c>
      <c r="C153" s="14" t="n">
        <v>30417.51</v>
      </c>
    </row>
    <row r="154">
      <c r="A154" s="10" t="n">
        <v>44927</v>
      </c>
      <c r="B154" s="9" t="inlineStr">
        <is>
          <t>Content Production</t>
        </is>
      </c>
      <c r="C154" s="14" t="n">
        <v>23288.62</v>
      </c>
    </row>
    <row r="155">
      <c r="A155" s="10" t="n">
        <v>44927</v>
      </c>
      <c r="B155" s="9" t="inlineStr">
        <is>
          <t>G&amp;A</t>
        </is>
      </c>
      <c r="C155" s="14" t="n">
        <v>22014.85</v>
      </c>
    </row>
    <row r="156">
      <c r="A156" s="10" t="n">
        <v>44927</v>
      </c>
      <c r="B156" s="9" t="inlineStr">
        <is>
          <t>Infrastructure</t>
        </is>
      </c>
      <c r="C156" s="14" t="n">
        <v>19317.85</v>
      </c>
    </row>
    <row r="157">
      <c r="A157" s="10" t="n">
        <v>44958</v>
      </c>
      <c r="B157" s="9" t="inlineStr">
        <is>
          <t>CS Salaries</t>
        </is>
      </c>
      <c r="C157" s="14" t="n">
        <v>33890.33</v>
      </c>
    </row>
    <row r="158">
      <c r="A158" s="10" t="n">
        <v>44958</v>
      </c>
      <c r="B158" s="9" t="inlineStr">
        <is>
          <t>Content Production</t>
        </is>
      </c>
      <c r="C158" s="14" t="n">
        <v>26492.33</v>
      </c>
    </row>
    <row r="159">
      <c r="A159" s="10" t="n">
        <v>44958</v>
      </c>
      <c r="B159" s="9" t="inlineStr">
        <is>
          <t>G&amp;A</t>
        </is>
      </c>
      <c r="C159" s="14" t="n">
        <v>21940.26</v>
      </c>
    </row>
    <row r="160">
      <c r="A160" s="10" t="n">
        <v>44958</v>
      </c>
      <c r="B160" s="9" t="inlineStr">
        <is>
          <t>Infrastructure</t>
        </is>
      </c>
      <c r="C160" s="14" t="n">
        <v>17941.03</v>
      </c>
    </row>
    <row r="161">
      <c r="A161" s="10" t="n">
        <v>44986</v>
      </c>
      <c r="B161" s="9" t="inlineStr">
        <is>
          <t>CS Salaries</t>
        </is>
      </c>
      <c r="C161" s="14" t="n">
        <v>34952.8</v>
      </c>
    </row>
    <row r="162">
      <c r="A162" s="10" t="n">
        <v>44986</v>
      </c>
      <c r="B162" s="9" t="inlineStr">
        <is>
          <t>Content Production</t>
        </is>
      </c>
      <c r="C162" s="14" t="n">
        <v>28516.62</v>
      </c>
    </row>
    <row r="163">
      <c r="A163" s="10" t="n">
        <v>44986</v>
      </c>
      <c r="B163" s="9" t="inlineStr">
        <is>
          <t>G&amp;A</t>
        </is>
      </c>
      <c r="C163" s="14" t="n">
        <v>24450.65</v>
      </c>
    </row>
    <row r="164">
      <c r="A164" s="10" t="n">
        <v>44986</v>
      </c>
      <c r="B164" s="9" t="inlineStr">
        <is>
          <t>Infrastructure</t>
        </is>
      </c>
      <c r="C164" s="14" t="n">
        <v>20105.1</v>
      </c>
    </row>
    <row r="165">
      <c r="A165" s="10" t="n">
        <v>45017</v>
      </c>
      <c r="B165" s="9" t="inlineStr">
        <is>
          <t>CS Salaries</t>
        </is>
      </c>
      <c r="C165" s="14" t="n">
        <v>35632.22</v>
      </c>
    </row>
    <row r="166">
      <c r="A166" s="10" t="n">
        <v>45017</v>
      </c>
      <c r="B166" s="9" t="inlineStr">
        <is>
          <t>Content Production</t>
        </is>
      </c>
      <c r="C166" s="14" t="n">
        <v>29590.04</v>
      </c>
    </row>
    <row r="167">
      <c r="A167" s="10" t="n">
        <v>45017</v>
      </c>
      <c r="B167" s="9" t="inlineStr">
        <is>
          <t>G&amp;A</t>
        </is>
      </c>
      <c r="C167" s="14" t="n">
        <v>25182.47</v>
      </c>
    </row>
    <row r="168">
      <c r="A168" s="10" t="n">
        <v>45017</v>
      </c>
      <c r="B168" s="9" t="inlineStr">
        <is>
          <t>Infrastructure</t>
        </is>
      </c>
      <c r="C168" s="14" t="n">
        <v>21192.85</v>
      </c>
    </row>
    <row r="169">
      <c r="A169" s="10" t="n">
        <v>45047</v>
      </c>
      <c r="B169" s="9" t="inlineStr">
        <is>
          <t>CS Salaries</t>
        </is>
      </c>
      <c r="C169" s="14" t="n">
        <v>36921.85</v>
      </c>
    </row>
    <row r="170">
      <c r="A170" s="10" t="n">
        <v>45047</v>
      </c>
      <c r="B170" s="9" t="inlineStr">
        <is>
          <t>Content Production</t>
        </is>
      </c>
      <c r="C170" s="14" t="n">
        <v>28251.22</v>
      </c>
    </row>
    <row r="171">
      <c r="A171" s="10" t="n">
        <v>45047</v>
      </c>
      <c r="B171" s="9" t="inlineStr">
        <is>
          <t>G&amp;A</t>
        </is>
      </c>
      <c r="C171" s="14" t="n">
        <v>24074.78</v>
      </c>
    </row>
    <row r="172">
      <c r="A172" s="10" t="n">
        <v>45047</v>
      </c>
      <c r="B172" s="9" t="inlineStr">
        <is>
          <t>Infrastructure</t>
        </is>
      </c>
      <c r="C172" s="14" t="n">
        <v>22739.58</v>
      </c>
    </row>
    <row r="173">
      <c r="A173" s="10" t="n">
        <v>45078</v>
      </c>
      <c r="B173" s="9" t="inlineStr">
        <is>
          <t>CS Salaries</t>
        </is>
      </c>
      <c r="C173" s="14" t="n">
        <v>37974.5</v>
      </c>
    </row>
    <row r="174">
      <c r="A174" s="10" t="n">
        <v>45078</v>
      </c>
      <c r="B174" s="9" t="inlineStr">
        <is>
          <t>Content Production</t>
        </is>
      </c>
      <c r="C174" s="14" t="n">
        <v>30976.46</v>
      </c>
    </row>
    <row r="175">
      <c r="A175" s="10" t="n">
        <v>45078</v>
      </c>
      <c r="B175" s="9" t="inlineStr">
        <is>
          <t>G&amp;A</t>
        </is>
      </c>
      <c r="C175" s="14" t="n">
        <v>25040.72</v>
      </c>
    </row>
    <row r="176">
      <c r="A176" s="10" t="n">
        <v>45078</v>
      </c>
      <c r="B176" s="9" t="inlineStr">
        <is>
          <t>Infrastructure</t>
        </is>
      </c>
      <c r="C176" s="14" t="n">
        <v>24009.13</v>
      </c>
    </row>
    <row r="177">
      <c r="A177" s="10" t="n">
        <v>45108</v>
      </c>
      <c r="B177" s="9" t="inlineStr">
        <is>
          <t>CS Salaries</t>
        </is>
      </c>
      <c r="C177" s="14" t="n">
        <v>37494.55</v>
      </c>
    </row>
    <row r="178">
      <c r="A178" s="10" t="n">
        <v>45108</v>
      </c>
      <c r="B178" s="9" t="inlineStr">
        <is>
          <t>Content Production</t>
        </is>
      </c>
      <c r="C178" s="14" t="n">
        <v>33426.7</v>
      </c>
    </row>
    <row r="179">
      <c r="A179" s="10" t="n">
        <v>45108</v>
      </c>
      <c r="B179" s="9" t="inlineStr">
        <is>
          <t>G&amp;A</t>
        </is>
      </c>
      <c r="C179" s="14" t="n">
        <v>25289.26</v>
      </c>
    </row>
    <row r="180">
      <c r="A180" s="10" t="n">
        <v>45108</v>
      </c>
      <c r="B180" s="9" t="inlineStr">
        <is>
          <t>Infrastructure</t>
        </is>
      </c>
      <c r="C180" s="14" t="n">
        <v>24486.54</v>
      </c>
    </row>
    <row r="181">
      <c r="A181" s="10" t="n">
        <v>45139</v>
      </c>
      <c r="B181" s="9" t="inlineStr">
        <is>
          <t>CS Salaries</t>
        </is>
      </c>
      <c r="C181" s="14" t="n">
        <v>39569.58</v>
      </c>
    </row>
    <row r="182">
      <c r="A182" s="10" t="n">
        <v>45139</v>
      </c>
      <c r="B182" s="9" t="inlineStr">
        <is>
          <t>Content Production</t>
        </is>
      </c>
      <c r="C182" s="14" t="n">
        <v>34156.26</v>
      </c>
    </row>
    <row r="183">
      <c r="A183" s="10" t="n">
        <v>45139</v>
      </c>
      <c r="B183" s="9" t="inlineStr">
        <is>
          <t>G&amp;A</t>
        </is>
      </c>
      <c r="C183" s="14" t="n">
        <v>26583.47</v>
      </c>
    </row>
    <row r="184">
      <c r="A184" s="10" t="n">
        <v>45139</v>
      </c>
      <c r="B184" s="9" t="inlineStr">
        <is>
          <t>Infrastructure</t>
        </is>
      </c>
      <c r="C184" s="14" t="n">
        <v>22803.31</v>
      </c>
    </row>
    <row r="185">
      <c r="A185" s="10" t="n">
        <v>45170</v>
      </c>
      <c r="B185" s="9" t="inlineStr">
        <is>
          <t>CS Salaries</t>
        </is>
      </c>
      <c r="C185" s="14" t="n">
        <v>42424.68</v>
      </c>
    </row>
    <row r="186">
      <c r="A186" s="10" t="n">
        <v>45170</v>
      </c>
      <c r="B186" s="9" t="inlineStr">
        <is>
          <t>Content Production</t>
        </is>
      </c>
      <c r="C186" s="14" t="n">
        <v>32939.87</v>
      </c>
    </row>
    <row r="187">
      <c r="A187" s="10" t="n">
        <v>45170</v>
      </c>
      <c r="B187" s="9" t="inlineStr">
        <is>
          <t>G&amp;A</t>
        </is>
      </c>
      <c r="C187" s="14" t="n">
        <v>27512.52</v>
      </c>
    </row>
    <row r="188">
      <c r="A188" s="10" t="n">
        <v>45170</v>
      </c>
      <c r="B188" s="9" t="inlineStr">
        <is>
          <t>Infrastructure</t>
        </is>
      </c>
      <c r="C188" s="14" t="n">
        <v>26101.89</v>
      </c>
    </row>
    <row r="189">
      <c r="A189" s="10" t="n">
        <v>45200</v>
      </c>
      <c r="B189" s="9" t="inlineStr">
        <is>
          <t>CS Salaries</t>
        </is>
      </c>
      <c r="C189" s="14" t="n">
        <v>42975.93</v>
      </c>
    </row>
    <row r="190">
      <c r="A190" s="10" t="n">
        <v>45200</v>
      </c>
      <c r="B190" s="9" t="inlineStr">
        <is>
          <t>Content Production</t>
        </is>
      </c>
      <c r="C190" s="14" t="n">
        <v>34486.15</v>
      </c>
    </row>
    <row r="191">
      <c r="A191" s="10" t="n">
        <v>45200</v>
      </c>
      <c r="B191" s="9" t="inlineStr">
        <is>
          <t>G&amp;A</t>
        </is>
      </c>
      <c r="C191" s="14" t="n">
        <v>29643.9</v>
      </c>
    </row>
    <row r="192">
      <c r="A192" s="10" t="n">
        <v>45200</v>
      </c>
      <c r="B192" s="9" t="inlineStr">
        <is>
          <t>Infrastructure</t>
        </is>
      </c>
      <c r="C192" s="14" t="n">
        <v>25048.67</v>
      </c>
    </row>
    <row r="193">
      <c r="A193" s="10" t="n">
        <v>45231</v>
      </c>
      <c r="B193" s="9" t="inlineStr">
        <is>
          <t>CS Salaries</t>
        </is>
      </c>
      <c r="C193" s="14" t="n">
        <v>45673.15</v>
      </c>
    </row>
    <row r="194">
      <c r="A194" s="10" t="n">
        <v>45231</v>
      </c>
      <c r="B194" s="9" t="inlineStr">
        <is>
          <t>Content Production</t>
        </is>
      </c>
      <c r="C194" s="14" t="n">
        <v>36269.25</v>
      </c>
    </row>
    <row r="195">
      <c r="A195" s="10" t="n">
        <v>45231</v>
      </c>
      <c r="B195" s="9" t="inlineStr">
        <is>
          <t>G&amp;A</t>
        </is>
      </c>
      <c r="C195" s="14" t="n">
        <v>30254.05</v>
      </c>
    </row>
    <row r="196">
      <c r="A196" s="10" t="n">
        <v>45231</v>
      </c>
      <c r="B196" s="9" t="inlineStr">
        <is>
          <t>Infrastructure</t>
        </is>
      </c>
      <c r="C196" s="14" t="n">
        <v>24504.86</v>
      </c>
    </row>
    <row r="197">
      <c r="A197" s="10" t="n">
        <v>45261</v>
      </c>
      <c r="B197" s="9" t="inlineStr">
        <is>
          <t>CS Salaries</t>
        </is>
      </c>
      <c r="C197" s="14" t="n">
        <v>45316.66</v>
      </c>
    </row>
    <row r="198">
      <c r="A198" s="10" t="n">
        <v>45261</v>
      </c>
      <c r="B198" s="9" t="inlineStr">
        <is>
          <t>Content Production</t>
        </is>
      </c>
      <c r="C198" s="14" t="n">
        <v>36450.78</v>
      </c>
    </row>
    <row r="199">
      <c r="A199" s="10" t="n">
        <v>45261</v>
      </c>
      <c r="B199" s="9" t="inlineStr">
        <is>
          <t>G&amp;A</t>
        </is>
      </c>
      <c r="C199" s="14" t="n">
        <v>30802.45</v>
      </c>
    </row>
    <row r="200">
      <c r="A200" s="10" t="n">
        <v>45261</v>
      </c>
      <c r="B200" s="9" t="inlineStr">
        <is>
          <t>Infrastructure</t>
        </is>
      </c>
      <c r="C200" s="14" t="n">
        <v>27116.83</v>
      </c>
    </row>
    <row r="201">
      <c r="A201" s="10" t="n">
        <v>45292</v>
      </c>
      <c r="B201" s="9" t="inlineStr">
        <is>
          <t>CS Salaries</t>
        </is>
      </c>
      <c r="C201" s="14" t="n">
        <v>44168.09</v>
      </c>
    </row>
    <row r="202">
      <c r="A202" s="10" t="n">
        <v>45292</v>
      </c>
      <c r="B202" s="9" t="inlineStr">
        <is>
          <t>Content Production</t>
        </is>
      </c>
      <c r="C202" s="14" t="n">
        <v>36211.43</v>
      </c>
    </row>
    <row r="203">
      <c r="A203" s="10" t="n">
        <v>45292</v>
      </c>
      <c r="B203" s="9" t="inlineStr">
        <is>
          <t>G&amp;A</t>
        </is>
      </c>
      <c r="C203" s="14" t="n">
        <v>30840.31</v>
      </c>
    </row>
    <row r="204">
      <c r="A204" s="10" t="n">
        <v>45292</v>
      </c>
      <c r="B204" s="9" t="inlineStr">
        <is>
          <t>Infrastructure</t>
        </is>
      </c>
      <c r="C204" s="14" t="n">
        <v>25386.41</v>
      </c>
    </row>
    <row r="205">
      <c r="A205" s="10" t="n">
        <v>45323</v>
      </c>
      <c r="B205" s="9" t="inlineStr">
        <is>
          <t>CS Salaries</t>
        </is>
      </c>
      <c r="C205" s="14" t="n">
        <v>48707.77</v>
      </c>
    </row>
    <row r="206">
      <c r="A206" s="10" t="n">
        <v>45323</v>
      </c>
      <c r="B206" s="9" t="inlineStr">
        <is>
          <t>Content Production</t>
        </is>
      </c>
      <c r="C206" s="14" t="n">
        <v>39864.83</v>
      </c>
    </row>
    <row r="207">
      <c r="A207" s="10" t="n">
        <v>45323</v>
      </c>
      <c r="B207" s="9" t="inlineStr">
        <is>
          <t>G&amp;A</t>
        </is>
      </c>
      <c r="C207" s="14" t="n">
        <v>31649.73</v>
      </c>
    </row>
    <row r="208">
      <c r="A208" s="10" t="n">
        <v>45323</v>
      </c>
      <c r="B208" s="9" t="inlineStr">
        <is>
          <t>Infrastructure</t>
        </is>
      </c>
      <c r="C208" s="14" t="n">
        <v>27762.18</v>
      </c>
    </row>
    <row r="209">
      <c r="A209" s="10" t="n">
        <v>45352</v>
      </c>
      <c r="B209" s="9" t="inlineStr">
        <is>
          <t>CS Salaries</t>
        </is>
      </c>
      <c r="C209" s="14" t="n">
        <v>47666.62</v>
      </c>
    </row>
    <row r="210">
      <c r="A210" s="10" t="n">
        <v>45352</v>
      </c>
      <c r="B210" s="9" t="inlineStr">
        <is>
          <t>Content Production</t>
        </is>
      </c>
      <c r="C210" s="14" t="n">
        <v>39445.36</v>
      </c>
    </row>
    <row r="211">
      <c r="A211" s="10" t="n">
        <v>45352</v>
      </c>
      <c r="B211" s="9" t="inlineStr">
        <is>
          <t>G&amp;A</t>
        </is>
      </c>
      <c r="C211" s="14" t="n">
        <v>30766.6</v>
      </c>
    </row>
    <row r="212">
      <c r="A212" s="10" t="n">
        <v>45352</v>
      </c>
      <c r="B212" s="9" t="inlineStr">
        <is>
          <t>Infrastructure</t>
        </is>
      </c>
      <c r="C212" s="14" t="n">
        <v>29706.84</v>
      </c>
    </row>
    <row r="213">
      <c r="A213" s="10" t="n">
        <v>45383</v>
      </c>
      <c r="B213" s="9" t="inlineStr">
        <is>
          <t>CS Salaries</t>
        </is>
      </c>
      <c r="C213" s="14" t="n">
        <v>47709.67</v>
      </c>
    </row>
    <row r="214">
      <c r="A214" s="10" t="n">
        <v>45383</v>
      </c>
      <c r="B214" s="9" t="inlineStr">
        <is>
          <t>Content Production</t>
        </is>
      </c>
      <c r="C214" s="14" t="n">
        <v>42620.05</v>
      </c>
    </row>
    <row r="215">
      <c r="A215" s="10" t="n">
        <v>45383</v>
      </c>
      <c r="B215" s="9" t="inlineStr">
        <is>
          <t>G&amp;A</t>
        </is>
      </c>
      <c r="C215" s="14" t="n">
        <v>32807.97</v>
      </c>
    </row>
    <row r="216">
      <c r="A216" s="10" t="n">
        <v>45383</v>
      </c>
      <c r="B216" s="9" t="inlineStr">
        <is>
          <t>Infrastructure</t>
        </is>
      </c>
      <c r="C216" s="14" t="n">
        <v>30597.71</v>
      </c>
    </row>
    <row r="218">
      <c r="A218" s="3" t="inlineStr">
        <is>
          <t>Block C -- New paying customers by month x segment (mart_a2_01_new_paying_customers)</t>
        </is>
      </c>
      <c r="B218" s="4" t="n"/>
      <c r="C218" s="4" t="n"/>
      <c r="D218" s="4" t="n"/>
      <c r="E218" s="4" t="n"/>
      <c r="F218" s="4" t="n"/>
    </row>
    <row r="219">
      <c r="A219" s="6" t="inlineStr">
        <is>
          <t>month</t>
        </is>
      </c>
      <c r="B219" s="6" t="inlineStr">
        <is>
          <t>segment</t>
        </is>
      </c>
      <c r="C219" s="6" t="inlineStr">
        <is>
          <t>new_paying_customers</t>
        </is>
      </c>
    </row>
    <row r="220">
      <c r="A220" s="10" t="n">
        <v>44927</v>
      </c>
      <c r="B220" s="9" t="inlineStr">
        <is>
          <t>B2B</t>
        </is>
      </c>
      <c r="C220" s="12" t="n">
        <v>11</v>
      </c>
    </row>
    <row r="221">
      <c r="A221" s="10" t="n">
        <v>44927</v>
      </c>
      <c r="B221" s="9" t="inlineStr">
        <is>
          <t>B2C</t>
        </is>
      </c>
      <c r="C221" s="12" t="n">
        <v>90</v>
      </c>
    </row>
    <row r="222">
      <c r="A222" s="10" t="n">
        <v>44927</v>
      </c>
      <c r="B222" s="9" t="inlineStr">
        <is>
          <t>Enterprise</t>
        </is>
      </c>
      <c r="C222" s="12" t="n">
        <v>2</v>
      </c>
    </row>
    <row r="223">
      <c r="A223" s="10" t="n">
        <v>44927</v>
      </c>
      <c r="B223" s="9" t="inlineStr">
        <is>
          <t>SMB</t>
        </is>
      </c>
      <c r="C223" s="12" t="n">
        <v>9</v>
      </c>
    </row>
    <row r="224">
      <c r="A224" s="10" t="n">
        <v>44927</v>
      </c>
      <c r="B224" s="9" t="inlineStr">
        <is>
          <t>Total</t>
        </is>
      </c>
      <c r="C224" s="12" t="n">
        <v>101</v>
      </c>
    </row>
    <row r="225">
      <c r="A225" s="10" t="n">
        <v>44958</v>
      </c>
      <c r="B225" s="9" t="inlineStr">
        <is>
          <t>B2B</t>
        </is>
      </c>
      <c r="C225" s="12" t="n">
        <v>17</v>
      </c>
    </row>
    <row r="226">
      <c r="A226" s="10" t="n">
        <v>44958</v>
      </c>
      <c r="B226" s="9" t="inlineStr">
        <is>
          <t>B2C</t>
        </is>
      </c>
      <c r="C226" s="12" t="n">
        <v>85</v>
      </c>
    </row>
    <row r="227">
      <c r="A227" s="10" t="n">
        <v>44958</v>
      </c>
      <c r="B227" s="9" t="inlineStr">
        <is>
          <t>Enterprise</t>
        </is>
      </c>
      <c r="C227" s="12" t="n">
        <v>2</v>
      </c>
    </row>
    <row r="228">
      <c r="A228" s="10" t="n">
        <v>44958</v>
      </c>
      <c r="B228" s="9" t="inlineStr">
        <is>
          <t>SMB</t>
        </is>
      </c>
      <c r="C228" s="12" t="n">
        <v>15</v>
      </c>
    </row>
    <row r="229">
      <c r="A229" s="10" t="n">
        <v>44958</v>
      </c>
      <c r="B229" s="9" t="inlineStr">
        <is>
          <t>Total</t>
        </is>
      </c>
      <c r="C229" s="12" t="n">
        <v>102</v>
      </c>
    </row>
    <row r="230">
      <c r="A230" s="10" t="n">
        <v>44986</v>
      </c>
      <c r="B230" s="9" t="inlineStr">
        <is>
          <t>B2B</t>
        </is>
      </c>
      <c r="C230" s="12" t="n">
        <v>21</v>
      </c>
    </row>
    <row r="231">
      <c r="A231" s="10" t="n">
        <v>44986</v>
      </c>
      <c r="B231" s="9" t="inlineStr">
        <is>
          <t>B2C</t>
        </is>
      </c>
      <c r="C231" s="12" t="n">
        <v>102</v>
      </c>
    </row>
    <row r="232">
      <c r="A232" s="10" t="n">
        <v>44986</v>
      </c>
      <c r="B232" s="9" t="inlineStr">
        <is>
          <t>Enterprise</t>
        </is>
      </c>
      <c r="C232" s="12" t="n">
        <v>5</v>
      </c>
    </row>
    <row r="233">
      <c r="A233" s="10" t="n">
        <v>44986</v>
      </c>
      <c r="B233" s="9" t="inlineStr">
        <is>
          <t>SMB</t>
        </is>
      </c>
      <c r="C233" s="12" t="n">
        <v>16</v>
      </c>
    </row>
    <row r="234">
      <c r="A234" s="10" t="n">
        <v>44986</v>
      </c>
      <c r="B234" s="9" t="inlineStr">
        <is>
          <t>Total</t>
        </is>
      </c>
      <c r="C234" s="12" t="n">
        <v>123</v>
      </c>
    </row>
    <row r="235">
      <c r="A235" s="10" t="n">
        <v>45017</v>
      </c>
      <c r="B235" s="9" t="inlineStr">
        <is>
          <t>B2B</t>
        </is>
      </c>
      <c r="C235" s="12" t="n">
        <v>17</v>
      </c>
    </row>
    <row r="236">
      <c r="A236" s="10" t="n">
        <v>45017</v>
      </c>
      <c r="B236" s="9" t="inlineStr">
        <is>
          <t>B2C</t>
        </is>
      </c>
      <c r="C236" s="12" t="n">
        <v>108</v>
      </c>
    </row>
    <row r="237">
      <c r="A237" s="10" t="n">
        <v>45017</v>
      </c>
      <c r="B237" s="9" t="inlineStr">
        <is>
          <t>Enterprise</t>
        </is>
      </c>
      <c r="C237" s="12" t="n">
        <v>4</v>
      </c>
    </row>
    <row r="238">
      <c r="A238" s="10" t="n">
        <v>45017</v>
      </c>
      <c r="B238" s="9" t="inlineStr">
        <is>
          <t>SMB</t>
        </is>
      </c>
      <c r="C238" s="12" t="n">
        <v>13</v>
      </c>
    </row>
    <row r="239">
      <c r="A239" s="10" t="n">
        <v>45017</v>
      </c>
      <c r="B239" s="9" t="inlineStr">
        <is>
          <t>Total</t>
        </is>
      </c>
      <c r="C239" s="12" t="n">
        <v>125</v>
      </c>
    </row>
    <row r="240">
      <c r="A240" s="10" t="n">
        <v>45047</v>
      </c>
      <c r="B240" s="9" t="inlineStr">
        <is>
          <t>B2B</t>
        </is>
      </c>
      <c r="C240" s="12" t="n">
        <v>28</v>
      </c>
    </row>
    <row r="241">
      <c r="A241" s="10" t="n">
        <v>45047</v>
      </c>
      <c r="B241" s="9" t="inlineStr">
        <is>
          <t>B2C</t>
        </is>
      </c>
      <c r="C241" s="12" t="n">
        <v>106</v>
      </c>
    </row>
    <row r="242">
      <c r="A242" s="10" t="n">
        <v>45047</v>
      </c>
      <c r="B242" s="9" t="inlineStr">
        <is>
          <t>Enterprise</t>
        </is>
      </c>
      <c r="C242" s="12" t="n">
        <v>7</v>
      </c>
    </row>
    <row r="243">
      <c r="A243" s="10" t="n">
        <v>45047</v>
      </c>
      <c r="B243" s="9" t="inlineStr">
        <is>
          <t>SMB</t>
        </is>
      </c>
      <c r="C243" s="12" t="n">
        <v>21</v>
      </c>
    </row>
    <row r="244">
      <c r="A244" s="10" t="n">
        <v>45047</v>
      </c>
      <c r="B244" s="9" t="inlineStr">
        <is>
          <t>Total</t>
        </is>
      </c>
      <c r="C244" s="12" t="n">
        <v>134</v>
      </c>
    </row>
    <row r="245">
      <c r="A245" s="10" t="n">
        <v>45078</v>
      </c>
      <c r="B245" s="9" t="inlineStr">
        <is>
          <t>B2B</t>
        </is>
      </c>
      <c r="C245" s="12" t="n">
        <v>22</v>
      </c>
    </row>
    <row r="246">
      <c r="A246" s="10" t="n">
        <v>45078</v>
      </c>
      <c r="B246" s="9" t="inlineStr">
        <is>
          <t>B2C</t>
        </is>
      </c>
      <c r="C246" s="12" t="n">
        <v>126</v>
      </c>
    </row>
    <row r="247">
      <c r="A247" s="10" t="n">
        <v>45078</v>
      </c>
      <c r="B247" s="9" t="inlineStr">
        <is>
          <t>Enterprise</t>
        </is>
      </c>
      <c r="C247" s="12" t="n">
        <v>5</v>
      </c>
    </row>
    <row r="248">
      <c r="A248" s="10" t="n">
        <v>45078</v>
      </c>
      <c r="B248" s="9" t="inlineStr">
        <is>
          <t>SMB</t>
        </is>
      </c>
      <c r="C248" s="12" t="n">
        <v>17</v>
      </c>
    </row>
    <row r="249">
      <c r="A249" s="10" t="n">
        <v>45078</v>
      </c>
      <c r="B249" s="9" t="inlineStr">
        <is>
          <t>Total</t>
        </is>
      </c>
      <c r="C249" s="12" t="n">
        <v>148</v>
      </c>
    </row>
    <row r="250">
      <c r="A250" s="10" t="n">
        <v>45108</v>
      </c>
      <c r="B250" s="9" t="inlineStr">
        <is>
          <t>B2B</t>
        </is>
      </c>
      <c r="C250" s="12" t="n">
        <v>28</v>
      </c>
    </row>
    <row r="251">
      <c r="A251" s="10" t="n">
        <v>45108</v>
      </c>
      <c r="B251" s="9" t="inlineStr">
        <is>
          <t>B2C</t>
        </is>
      </c>
      <c r="C251" s="12" t="n">
        <v>118</v>
      </c>
    </row>
    <row r="252">
      <c r="A252" s="10" t="n">
        <v>45108</v>
      </c>
      <c r="B252" s="9" t="inlineStr">
        <is>
          <t>Enterprise</t>
        </is>
      </c>
      <c r="C252" s="12" t="n">
        <v>7</v>
      </c>
    </row>
    <row r="253">
      <c r="A253" s="10" t="n">
        <v>45108</v>
      </c>
      <c r="B253" s="9" t="inlineStr">
        <is>
          <t>SMB</t>
        </is>
      </c>
      <c r="C253" s="12" t="n">
        <v>21</v>
      </c>
    </row>
    <row r="254">
      <c r="A254" s="10" t="n">
        <v>45108</v>
      </c>
      <c r="B254" s="9" t="inlineStr">
        <is>
          <t>Total</t>
        </is>
      </c>
      <c r="C254" s="12" t="n">
        <v>146</v>
      </c>
    </row>
    <row r="255">
      <c r="A255" s="10" t="n">
        <v>45139</v>
      </c>
      <c r="B255" s="9" t="inlineStr">
        <is>
          <t>B2B</t>
        </is>
      </c>
      <c r="C255" s="12" t="n">
        <v>26</v>
      </c>
    </row>
    <row r="256">
      <c r="A256" s="10" t="n">
        <v>45139</v>
      </c>
      <c r="B256" s="9" t="inlineStr">
        <is>
          <t>B2C</t>
        </is>
      </c>
      <c r="C256" s="12" t="n">
        <v>131</v>
      </c>
    </row>
    <row r="257">
      <c r="A257" s="10" t="n">
        <v>45139</v>
      </c>
      <c r="B257" s="9" t="inlineStr">
        <is>
          <t>Enterprise</t>
        </is>
      </c>
      <c r="C257" s="12" t="n">
        <v>5</v>
      </c>
    </row>
    <row r="258">
      <c r="A258" s="10" t="n">
        <v>45139</v>
      </c>
      <c r="B258" s="9" t="inlineStr">
        <is>
          <t>SMB</t>
        </is>
      </c>
      <c r="C258" s="12" t="n">
        <v>21</v>
      </c>
    </row>
    <row r="259">
      <c r="A259" s="10" t="n">
        <v>45139</v>
      </c>
      <c r="B259" s="9" t="inlineStr">
        <is>
          <t>Total</t>
        </is>
      </c>
      <c r="C259" s="12" t="n">
        <v>157</v>
      </c>
    </row>
    <row r="260">
      <c r="A260" s="10" t="n">
        <v>45170</v>
      </c>
      <c r="B260" s="9" t="inlineStr">
        <is>
          <t>B2B</t>
        </is>
      </c>
      <c r="C260" s="12" t="n">
        <v>30</v>
      </c>
    </row>
    <row r="261">
      <c r="A261" s="10" t="n">
        <v>45170</v>
      </c>
      <c r="B261" s="9" t="inlineStr">
        <is>
          <t>B2C</t>
        </is>
      </c>
      <c r="C261" s="12" t="n">
        <v>145</v>
      </c>
    </row>
    <row r="262">
      <c r="A262" s="10" t="n">
        <v>45170</v>
      </c>
      <c r="B262" s="9" t="inlineStr">
        <is>
          <t>Enterprise</t>
        </is>
      </c>
      <c r="C262" s="12" t="n">
        <v>7</v>
      </c>
    </row>
    <row r="263">
      <c r="A263" s="10" t="n">
        <v>45170</v>
      </c>
      <c r="B263" s="9" t="inlineStr">
        <is>
          <t>SMB</t>
        </is>
      </c>
      <c r="C263" s="12" t="n">
        <v>23</v>
      </c>
    </row>
    <row r="264">
      <c r="A264" s="10" t="n">
        <v>45170</v>
      </c>
      <c r="B264" s="9" t="inlineStr">
        <is>
          <t>Total</t>
        </is>
      </c>
      <c r="C264" s="12" t="n">
        <v>175</v>
      </c>
    </row>
    <row r="265">
      <c r="A265" s="10" t="n">
        <v>45200</v>
      </c>
      <c r="B265" s="9" t="inlineStr">
        <is>
          <t>B2B</t>
        </is>
      </c>
      <c r="C265" s="12" t="n">
        <v>29</v>
      </c>
    </row>
    <row r="266">
      <c r="A266" s="10" t="n">
        <v>45200</v>
      </c>
      <c r="B266" s="9" t="inlineStr">
        <is>
          <t>B2C</t>
        </is>
      </c>
      <c r="C266" s="12" t="n">
        <v>162</v>
      </c>
    </row>
    <row r="267">
      <c r="A267" s="10" t="n">
        <v>45200</v>
      </c>
      <c r="B267" s="9" t="inlineStr">
        <is>
          <t>Enterprise</t>
        </is>
      </c>
      <c r="C267" s="12" t="n">
        <v>7</v>
      </c>
    </row>
    <row r="268">
      <c r="A268" s="10" t="n">
        <v>45200</v>
      </c>
      <c r="B268" s="9" t="inlineStr">
        <is>
          <t>SMB</t>
        </is>
      </c>
      <c r="C268" s="12" t="n">
        <v>22</v>
      </c>
    </row>
    <row r="269">
      <c r="A269" s="10" t="n">
        <v>45200</v>
      </c>
      <c r="B269" s="9" t="inlineStr">
        <is>
          <t>Total</t>
        </is>
      </c>
      <c r="C269" s="12" t="n">
        <v>191</v>
      </c>
    </row>
    <row r="270">
      <c r="A270" s="10" t="n">
        <v>45231</v>
      </c>
      <c r="B270" s="9" t="inlineStr">
        <is>
          <t>B2B</t>
        </is>
      </c>
      <c r="C270" s="12" t="n">
        <v>33</v>
      </c>
    </row>
    <row r="271">
      <c r="A271" s="10" t="n">
        <v>45231</v>
      </c>
      <c r="B271" s="9" t="inlineStr">
        <is>
          <t>B2C</t>
        </is>
      </c>
      <c r="C271" s="12" t="n">
        <v>152</v>
      </c>
    </row>
    <row r="272">
      <c r="A272" s="10" t="n">
        <v>45231</v>
      </c>
      <c r="B272" s="9" t="inlineStr">
        <is>
          <t>Enterprise</t>
        </is>
      </c>
      <c r="C272" s="12" t="n">
        <v>9</v>
      </c>
    </row>
    <row r="273">
      <c r="A273" s="10" t="n">
        <v>45231</v>
      </c>
      <c r="B273" s="9" t="inlineStr">
        <is>
          <t>SMB</t>
        </is>
      </c>
      <c r="C273" s="12" t="n">
        <v>24</v>
      </c>
    </row>
    <row r="274">
      <c r="A274" s="10" t="n">
        <v>45231</v>
      </c>
      <c r="B274" s="9" t="inlineStr">
        <is>
          <t>Total</t>
        </is>
      </c>
      <c r="C274" s="12" t="n">
        <v>185</v>
      </c>
    </row>
    <row r="275">
      <c r="A275" s="10" t="n">
        <v>45261</v>
      </c>
      <c r="B275" s="9" t="inlineStr">
        <is>
          <t>B2B</t>
        </is>
      </c>
      <c r="C275" s="12" t="n">
        <v>38</v>
      </c>
    </row>
    <row r="276">
      <c r="A276" s="10" t="n">
        <v>45261</v>
      </c>
      <c r="B276" s="9" t="inlineStr">
        <is>
          <t>B2C</t>
        </is>
      </c>
      <c r="C276" s="12" t="n">
        <v>162</v>
      </c>
    </row>
    <row r="277">
      <c r="A277" s="10" t="n">
        <v>45261</v>
      </c>
      <c r="B277" s="9" t="inlineStr">
        <is>
          <t>Enterprise</t>
        </is>
      </c>
      <c r="C277" s="12" t="n">
        <v>10</v>
      </c>
    </row>
    <row r="278">
      <c r="A278" s="10" t="n">
        <v>45261</v>
      </c>
      <c r="B278" s="9" t="inlineStr">
        <is>
          <t>SMB</t>
        </is>
      </c>
      <c r="C278" s="12" t="n">
        <v>28</v>
      </c>
    </row>
    <row r="279">
      <c r="A279" s="10" t="n">
        <v>45261</v>
      </c>
      <c r="B279" s="9" t="inlineStr">
        <is>
          <t>Total</t>
        </is>
      </c>
      <c r="C279" s="12" t="n">
        <v>200</v>
      </c>
    </row>
    <row r="280">
      <c r="A280" s="10" t="n">
        <v>45292</v>
      </c>
      <c r="B280" s="9" t="inlineStr">
        <is>
          <t>B2B</t>
        </is>
      </c>
      <c r="C280" s="12" t="n">
        <v>40</v>
      </c>
    </row>
    <row r="281">
      <c r="A281" s="10" t="n">
        <v>45292</v>
      </c>
      <c r="B281" s="9" t="inlineStr">
        <is>
          <t>B2C</t>
        </is>
      </c>
      <c r="C281" s="12" t="n">
        <v>168</v>
      </c>
    </row>
    <row r="282">
      <c r="A282" s="10" t="n">
        <v>45292</v>
      </c>
      <c r="B282" s="9" t="inlineStr">
        <is>
          <t>Enterprise</t>
        </is>
      </c>
      <c r="C282" s="12" t="n">
        <v>9</v>
      </c>
    </row>
    <row r="283">
      <c r="A283" s="10" t="n">
        <v>45292</v>
      </c>
      <c r="B283" s="9" t="inlineStr">
        <is>
          <t>SMB</t>
        </is>
      </c>
      <c r="C283" s="12" t="n">
        <v>31</v>
      </c>
    </row>
    <row r="284">
      <c r="A284" s="10" t="n">
        <v>45292</v>
      </c>
      <c r="B284" s="9" t="inlineStr">
        <is>
          <t>Total</t>
        </is>
      </c>
      <c r="C284" s="12" t="n">
        <v>208</v>
      </c>
    </row>
    <row r="285">
      <c r="A285" s="10" t="n">
        <v>45323</v>
      </c>
      <c r="B285" s="9" t="inlineStr">
        <is>
          <t>B2B</t>
        </is>
      </c>
      <c r="C285" s="12" t="n">
        <v>43</v>
      </c>
    </row>
    <row r="286">
      <c r="A286" s="10" t="n">
        <v>45323</v>
      </c>
      <c r="B286" s="9" t="inlineStr">
        <is>
          <t>B2C</t>
        </is>
      </c>
      <c r="C286" s="12" t="n">
        <v>189</v>
      </c>
    </row>
    <row r="287">
      <c r="A287" s="10" t="n">
        <v>45323</v>
      </c>
      <c r="B287" s="9" t="inlineStr">
        <is>
          <t>Enterprise</t>
        </is>
      </c>
      <c r="C287" s="12" t="n">
        <v>10</v>
      </c>
    </row>
    <row r="288">
      <c r="A288" s="10" t="n">
        <v>45323</v>
      </c>
      <c r="B288" s="9" t="inlineStr">
        <is>
          <t>SMB</t>
        </is>
      </c>
      <c r="C288" s="12" t="n">
        <v>33</v>
      </c>
    </row>
    <row r="289">
      <c r="A289" s="10" t="n">
        <v>45323</v>
      </c>
      <c r="B289" s="9" t="inlineStr">
        <is>
          <t>Total</t>
        </is>
      </c>
      <c r="C289" s="12" t="n">
        <v>232</v>
      </c>
    </row>
    <row r="290">
      <c r="A290" s="10" t="n">
        <v>45352</v>
      </c>
      <c r="B290" s="9" t="inlineStr">
        <is>
          <t>B2B</t>
        </is>
      </c>
      <c r="C290" s="12" t="n">
        <v>44</v>
      </c>
    </row>
    <row r="291">
      <c r="A291" s="10" t="n">
        <v>45352</v>
      </c>
      <c r="B291" s="9" t="inlineStr">
        <is>
          <t>B2C</t>
        </is>
      </c>
      <c r="C291" s="12" t="n">
        <v>185</v>
      </c>
    </row>
    <row r="292">
      <c r="A292" s="10" t="n">
        <v>45352</v>
      </c>
      <c r="B292" s="9" t="inlineStr">
        <is>
          <t>Enterprise</t>
        </is>
      </c>
      <c r="C292" s="12" t="n">
        <v>10</v>
      </c>
    </row>
    <row r="293">
      <c r="A293" s="10" t="n">
        <v>45352</v>
      </c>
      <c r="B293" s="9" t="inlineStr">
        <is>
          <t>SMB</t>
        </is>
      </c>
      <c r="C293" s="12" t="n">
        <v>34</v>
      </c>
    </row>
    <row r="294">
      <c r="A294" s="10" t="n">
        <v>45352</v>
      </c>
      <c r="B294" s="9" t="inlineStr">
        <is>
          <t>Total</t>
        </is>
      </c>
      <c r="C294" s="12" t="n">
        <v>229</v>
      </c>
    </row>
    <row r="295">
      <c r="A295" s="10" t="n">
        <v>45383</v>
      </c>
      <c r="B295" s="9" t="inlineStr">
        <is>
          <t>B2B</t>
        </is>
      </c>
      <c r="C295" s="12" t="n">
        <v>43</v>
      </c>
    </row>
    <row r="296">
      <c r="A296" s="10" t="n">
        <v>45383</v>
      </c>
      <c r="B296" s="9" t="inlineStr">
        <is>
          <t>B2C</t>
        </is>
      </c>
      <c r="C296" s="12" t="n">
        <v>196</v>
      </c>
    </row>
    <row r="297">
      <c r="A297" s="10" t="n">
        <v>45383</v>
      </c>
      <c r="B297" s="9" t="inlineStr">
        <is>
          <t>Enterprise</t>
        </is>
      </c>
      <c r="C297" s="12" t="n">
        <v>10</v>
      </c>
    </row>
    <row r="298">
      <c r="A298" s="10" t="n">
        <v>45383</v>
      </c>
      <c r="B298" s="9" t="inlineStr">
        <is>
          <t>SMB</t>
        </is>
      </c>
      <c r="C298" s="12" t="n">
        <v>33</v>
      </c>
    </row>
    <row r="299">
      <c r="A299" s="10" t="n">
        <v>45383</v>
      </c>
      <c r="B299" s="9" t="inlineStr">
        <is>
          <t>Total</t>
        </is>
      </c>
      <c r="C299" s="12" t="n">
        <v>239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Data_Survival</t>
        </is>
      </c>
    </row>
    <row r="2">
      <c r="A2" s="2" t="inlineStr">
        <is>
          <t>Source: mart_a2_10_survival_curve.sql (verbatim export). Logo and dollar survival curves by segment, k=0..15 months since signup. Used by UnitEconomics to build the 60-month lifetime curve (observed k=0..k_rel, then an extrapolated tail).</t>
        </is>
      </c>
    </row>
    <row r="4">
      <c r="A4" s="6" t="inlineStr">
        <is>
          <t>segment</t>
        </is>
      </c>
      <c r="B4" s="6" t="inlineStr">
        <is>
          <t>k</t>
        </is>
      </c>
      <c r="C4" s="6" t="inlineStr">
        <is>
          <t>exposed_n</t>
        </is>
      </c>
      <c r="D4" s="6" t="inlineStr">
        <is>
          <t>active_n</t>
        </is>
      </c>
      <c r="E4" s="6" t="inlineStr">
        <is>
          <t>logo_survival</t>
        </is>
      </c>
      <c r="F4" s="6" t="inlineStr">
        <is>
          <t>mrr_at_k_sum</t>
        </is>
      </c>
      <c r="G4" s="6" t="inlineStr">
        <is>
          <t>mrr_at_0_sum</t>
        </is>
      </c>
      <c r="H4" s="6" t="inlineStr">
        <is>
          <t>dollar_retention</t>
        </is>
      </c>
      <c r="I4" s="6" t="inlineStr">
        <is>
          <t>arpa_at_signup</t>
        </is>
      </c>
    </row>
    <row r="5">
      <c r="A5" s="9" t="inlineStr">
        <is>
          <t>B2B</t>
        </is>
      </c>
      <c r="B5" s="9" t="n">
        <v>0</v>
      </c>
      <c r="C5" s="12" t="n">
        <v>470</v>
      </c>
      <c r="D5" s="12" t="n">
        <v>469</v>
      </c>
      <c r="E5" s="21" t="n">
        <v>0.9979</v>
      </c>
      <c r="F5" s="14" t="n">
        <v>155160.7199999998</v>
      </c>
      <c r="G5" s="14" t="n">
        <v>155160.7199999998</v>
      </c>
      <c r="H5" s="21" t="n">
        <v>1</v>
      </c>
      <c r="I5" s="14" t="n">
        <v>330.13</v>
      </c>
    </row>
    <row r="6">
      <c r="A6" s="9" t="inlineStr">
        <is>
          <t>B2B</t>
        </is>
      </c>
      <c r="B6" s="9" t="n">
        <v>1</v>
      </c>
      <c r="C6" s="12" t="n">
        <v>427</v>
      </c>
      <c r="D6" s="12" t="n">
        <v>416</v>
      </c>
      <c r="E6" s="21" t="n">
        <v>0.9742</v>
      </c>
      <c r="F6" s="14" t="n">
        <v>139866.5299999999</v>
      </c>
      <c r="G6" s="14" t="n">
        <v>141258.4799999998</v>
      </c>
      <c r="H6" s="21" t="n">
        <v>0.9901</v>
      </c>
      <c r="I6" s="14" t="n">
        <v>330.82</v>
      </c>
    </row>
    <row r="7">
      <c r="A7" s="9" t="inlineStr">
        <is>
          <t>B2B</t>
        </is>
      </c>
      <c r="B7" s="9" t="n">
        <v>2</v>
      </c>
      <c r="C7" s="12" t="n">
        <v>383</v>
      </c>
      <c r="D7" s="12" t="n">
        <v>359</v>
      </c>
      <c r="E7" s="21" t="n">
        <v>0.9373</v>
      </c>
      <c r="F7" s="14" t="n">
        <v>121567.5999999999</v>
      </c>
      <c r="G7" s="14" t="n">
        <v>126630.9199999999</v>
      </c>
      <c r="H7" s="21" t="n">
        <v>0.96</v>
      </c>
      <c r="I7" s="14" t="n">
        <v>330.63</v>
      </c>
    </row>
    <row r="8">
      <c r="A8" s="9" t="inlineStr">
        <is>
          <t>B2B</t>
        </is>
      </c>
      <c r="B8" s="9" t="n">
        <v>3</v>
      </c>
      <c r="C8" s="12" t="n">
        <v>340</v>
      </c>
      <c r="D8" s="12" t="n">
        <v>305</v>
      </c>
      <c r="E8" s="21" t="n">
        <v>0.8971</v>
      </c>
      <c r="F8" s="14" t="n">
        <v>104251.3899999999</v>
      </c>
      <c r="G8" s="14" t="n">
        <v>112581.4399999999</v>
      </c>
      <c r="H8" s="21" t="n">
        <v>0.926</v>
      </c>
      <c r="I8" s="14" t="n">
        <v>331.12</v>
      </c>
    </row>
    <row r="9">
      <c r="A9" s="9" t="inlineStr">
        <is>
          <t>B2B</t>
        </is>
      </c>
      <c r="B9" s="9" t="n">
        <v>4</v>
      </c>
      <c r="C9" s="12" t="n">
        <v>300</v>
      </c>
      <c r="D9" s="12" t="n">
        <v>259</v>
      </c>
      <c r="E9" s="21" t="n">
        <v>0.8633</v>
      </c>
      <c r="F9" s="14" t="n">
        <v>90044.09999999992</v>
      </c>
      <c r="G9" s="14" t="n">
        <v>99344.55999999994</v>
      </c>
      <c r="H9" s="21" t="n">
        <v>0.9064</v>
      </c>
      <c r="I9" s="14" t="n">
        <v>331.15</v>
      </c>
    </row>
    <row r="10">
      <c r="A10" s="9" t="inlineStr">
        <is>
          <t>B2B</t>
        </is>
      </c>
      <c r="B10" s="9" t="n">
        <v>5</v>
      </c>
      <c r="C10" s="12" t="n">
        <v>262</v>
      </c>
      <c r="D10" s="12" t="n">
        <v>220</v>
      </c>
      <c r="E10" s="21" t="n">
        <v>0.8397</v>
      </c>
      <c r="F10" s="14" t="n">
        <v>76410.01999999996</v>
      </c>
      <c r="G10" s="14" t="n">
        <v>86359.59999999995</v>
      </c>
      <c r="H10" s="21" t="n">
        <v>0.8848</v>
      </c>
      <c r="I10" s="14" t="n">
        <v>329.62</v>
      </c>
    </row>
    <row r="11">
      <c r="A11" s="9" t="inlineStr">
        <is>
          <t>B2B</t>
        </is>
      </c>
      <c r="B11" s="9" t="n">
        <v>6</v>
      </c>
      <c r="C11" s="12" t="n">
        <v>229</v>
      </c>
      <c r="D11" s="12" t="n">
        <v>189</v>
      </c>
      <c r="E11" s="21" t="n">
        <v>0.8253</v>
      </c>
      <c r="F11" s="14" t="n">
        <v>64619.20999999998</v>
      </c>
      <c r="G11" s="14" t="n">
        <v>74368.47999999997</v>
      </c>
      <c r="H11" s="21" t="n">
        <v>0.8689</v>
      </c>
      <c r="I11" s="14" t="n">
        <v>324.75</v>
      </c>
    </row>
    <row r="12">
      <c r="A12" s="9" t="inlineStr">
        <is>
          <t>B2B</t>
        </is>
      </c>
      <c r="B12" s="9" t="n">
        <v>7</v>
      </c>
      <c r="C12" s="12" t="n">
        <v>200</v>
      </c>
      <c r="D12" s="12" t="n">
        <v>166</v>
      </c>
      <c r="E12" s="21" t="n">
        <v>0.83</v>
      </c>
      <c r="F12" s="14" t="n">
        <v>56628.30999999998</v>
      </c>
      <c r="G12" s="14" t="n">
        <v>64688.51999999997</v>
      </c>
      <c r="H12" s="21" t="n">
        <v>0.8754</v>
      </c>
      <c r="I12" s="14" t="n">
        <v>323.44</v>
      </c>
    </row>
    <row r="13">
      <c r="A13" s="9" t="inlineStr">
        <is>
          <t>B2B</t>
        </is>
      </c>
      <c r="B13" s="9" t="n">
        <v>8</v>
      </c>
      <c r="C13" s="12" t="n">
        <v>170</v>
      </c>
      <c r="D13" s="12" t="n">
        <v>137</v>
      </c>
      <c r="E13" s="21" t="n">
        <v>0.8058999999999999</v>
      </c>
      <c r="F13" s="14" t="n">
        <v>46918.14999999999</v>
      </c>
      <c r="G13" s="14" t="n">
        <v>54907.71999999999</v>
      </c>
      <c r="H13" s="21" t="n">
        <v>0.8545</v>
      </c>
      <c r="I13" s="14" t="n">
        <v>322.99</v>
      </c>
    </row>
    <row r="14">
      <c r="A14" s="9" t="inlineStr">
        <is>
          <t>B2B</t>
        </is>
      </c>
      <c r="B14" s="9" t="n">
        <v>9</v>
      </c>
      <c r="C14" s="12" t="n">
        <v>144</v>
      </c>
      <c r="D14" s="12" t="n">
        <v>118</v>
      </c>
      <c r="E14" s="21" t="n">
        <v>0.8194</v>
      </c>
      <c r="F14" s="14" t="n">
        <v>40099.7</v>
      </c>
      <c r="G14" s="14" t="n">
        <v>46929.52</v>
      </c>
      <c r="H14" s="21" t="n">
        <v>0.8545</v>
      </c>
      <c r="I14" s="14" t="n">
        <v>325.9</v>
      </c>
    </row>
    <row r="15">
      <c r="A15" s="9" t="inlineStr">
        <is>
          <t>B2B</t>
        </is>
      </c>
      <c r="B15" s="9" t="n">
        <v>10</v>
      </c>
      <c r="C15" s="12" t="n">
        <v>116</v>
      </c>
      <c r="D15" s="12" t="n">
        <v>95</v>
      </c>
      <c r="E15" s="21" t="n">
        <v>0.819</v>
      </c>
      <c r="F15" s="14" t="n">
        <v>30395.19</v>
      </c>
      <c r="G15" s="14" t="n">
        <v>37368.16</v>
      </c>
      <c r="H15" s="21" t="n">
        <v>0.8134</v>
      </c>
      <c r="I15" s="14" t="n">
        <v>322.14</v>
      </c>
    </row>
    <row r="16">
      <c r="A16" s="9" t="inlineStr">
        <is>
          <t>B2B</t>
        </is>
      </c>
      <c r="B16" s="9" t="n">
        <v>11</v>
      </c>
      <c r="C16" s="12" t="n">
        <v>94</v>
      </c>
      <c r="D16" s="12" t="n">
        <v>77</v>
      </c>
      <c r="E16" s="21" t="n">
        <v>0.8191000000000001</v>
      </c>
      <c r="F16" s="14" t="n">
        <v>25161.4</v>
      </c>
      <c r="G16" s="14" t="n">
        <v>29806.88</v>
      </c>
      <c r="H16" s="21" t="n">
        <v>0.8441</v>
      </c>
      <c r="I16" s="14" t="n">
        <v>317.09</v>
      </c>
    </row>
    <row r="17">
      <c r="A17" s="9" t="inlineStr">
        <is>
          <t>B2B</t>
        </is>
      </c>
      <c r="B17" s="9" t="n">
        <v>12</v>
      </c>
      <c r="C17" s="12" t="n">
        <v>66</v>
      </c>
      <c r="D17" s="12" t="n">
        <v>50</v>
      </c>
      <c r="E17" s="21" t="n">
        <v>0.7576000000000001</v>
      </c>
      <c r="F17" s="14" t="n">
        <v>15376.39</v>
      </c>
      <c r="G17" s="14" t="n">
        <v>20441.84</v>
      </c>
      <c r="H17" s="21" t="n">
        <v>0.7522</v>
      </c>
      <c r="I17" s="14" t="n">
        <v>309.72</v>
      </c>
    </row>
    <row r="18">
      <c r="A18" s="9" t="inlineStr">
        <is>
          <t>B2B</t>
        </is>
      </c>
      <c r="B18" s="9" t="n">
        <v>13</v>
      </c>
      <c r="C18" s="12" t="n">
        <v>49</v>
      </c>
      <c r="D18" s="12" t="n">
        <v>38</v>
      </c>
      <c r="E18" s="21" t="n">
        <v>0.7755</v>
      </c>
      <c r="F18" s="14" t="n">
        <v>10743.33</v>
      </c>
      <c r="G18" s="14" t="n">
        <v>14586.16</v>
      </c>
      <c r="H18" s="21" t="n">
        <v>0.7365</v>
      </c>
      <c r="I18" s="14" t="n">
        <v>297.68</v>
      </c>
    </row>
    <row r="19">
      <c r="A19" s="9" t="inlineStr">
        <is>
          <t>B2B</t>
        </is>
      </c>
      <c r="B19" s="9" t="n">
        <v>14</v>
      </c>
      <c r="C19" s="12" t="n">
        <v>28</v>
      </c>
      <c r="D19" s="12" t="n">
        <v>23</v>
      </c>
      <c r="E19" s="21" t="n">
        <v>0.8214</v>
      </c>
      <c r="F19" s="14" t="n">
        <v>5799.060000000001</v>
      </c>
      <c r="G19" s="14" t="n">
        <v>7455.720000000001</v>
      </c>
      <c r="H19" s="21" t="n">
        <v>0.7778</v>
      </c>
      <c r="I19" s="14" t="n">
        <v>266.28</v>
      </c>
    </row>
    <row r="20">
      <c r="A20" s="9" t="inlineStr">
        <is>
          <t>B2B</t>
        </is>
      </c>
      <c r="B20" s="9" t="n">
        <v>15</v>
      </c>
      <c r="C20" s="12" t="n">
        <v>11</v>
      </c>
      <c r="D20" s="12" t="n">
        <v>9</v>
      </c>
      <c r="E20" s="21" t="n">
        <v>0.8182</v>
      </c>
      <c r="F20" s="14" t="n">
        <v>3031.65</v>
      </c>
      <c r="G20" s="14" t="n">
        <v>3195.6</v>
      </c>
      <c r="H20" s="21" t="n">
        <v>0.9487</v>
      </c>
      <c r="I20" s="14" t="n">
        <v>290.51</v>
      </c>
    </row>
    <row r="21">
      <c r="A21" s="9" t="inlineStr">
        <is>
          <t>B2C</t>
        </is>
      </c>
      <c r="B21" s="9" t="n">
        <v>0</v>
      </c>
      <c r="C21" s="12" t="n">
        <v>2225</v>
      </c>
      <c r="D21" s="12" t="n">
        <v>2222</v>
      </c>
      <c r="E21" s="21" t="n">
        <v>0.9987</v>
      </c>
      <c r="F21" s="14" t="n">
        <v>97916</v>
      </c>
      <c r="G21" s="14" t="n">
        <v>97916</v>
      </c>
      <c r="H21" s="21" t="n">
        <v>1</v>
      </c>
      <c r="I21" s="14" t="n">
        <v>44.01</v>
      </c>
    </row>
    <row r="22">
      <c r="A22" s="9" t="inlineStr">
        <is>
          <t>B2C</t>
        </is>
      </c>
      <c r="B22" s="9" t="n">
        <v>1</v>
      </c>
      <c r="C22" s="12" t="n">
        <v>2029</v>
      </c>
      <c r="D22" s="12" t="n">
        <v>1903</v>
      </c>
      <c r="E22" s="21" t="n">
        <v>0.9379</v>
      </c>
      <c r="F22" s="14" t="n">
        <v>83088.25</v>
      </c>
      <c r="G22" s="14" t="n">
        <v>89115.25</v>
      </c>
      <c r="H22" s="21" t="n">
        <v>0.9324</v>
      </c>
      <c r="I22" s="14" t="n">
        <v>43.92</v>
      </c>
    </row>
    <row r="23">
      <c r="A23" s="9" t="inlineStr">
        <is>
          <t>B2C</t>
        </is>
      </c>
      <c r="B23" s="9" t="n">
        <v>2</v>
      </c>
      <c r="C23" s="12" t="n">
        <v>1844</v>
      </c>
      <c r="D23" s="12" t="n">
        <v>1593</v>
      </c>
      <c r="E23" s="21" t="n">
        <v>0.8639</v>
      </c>
      <c r="F23" s="14" t="n">
        <v>68843.25</v>
      </c>
      <c r="G23" s="14" t="n">
        <v>81093.25</v>
      </c>
      <c r="H23" s="21" t="n">
        <v>0.8489</v>
      </c>
      <c r="I23" s="14" t="n">
        <v>43.98</v>
      </c>
    </row>
    <row r="24">
      <c r="A24" s="9" t="inlineStr">
        <is>
          <t>B2C</t>
        </is>
      </c>
      <c r="B24" s="9" t="n">
        <v>3</v>
      </c>
      <c r="C24" s="12" t="n">
        <v>1655</v>
      </c>
      <c r="D24" s="12" t="n">
        <v>1329</v>
      </c>
      <c r="E24" s="21" t="n">
        <v>0.803</v>
      </c>
      <c r="F24" s="14" t="n">
        <v>57041.25</v>
      </c>
      <c r="G24" s="14" t="n">
        <v>72966.25</v>
      </c>
      <c r="H24" s="21" t="n">
        <v>0.7817</v>
      </c>
      <c r="I24" s="14" t="n">
        <v>44.09</v>
      </c>
    </row>
    <row r="25">
      <c r="A25" s="9" t="inlineStr">
        <is>
          <t>B2C</t>
        </is>
      </c>
      <c r="B25" s="9" t="n">
        <v>4</v>
      </c>
      <c r="C25" s="12" t="n">
        <v>1487</v>
      </c>
      <c r="D25" s="12" t="n">
        <v>1136</v>
      </c>
      <c r="E25" s="21" t="n">
        <v>0.764</v>
      </c>
      <c r="F25" s="14" t="n">
        <v>48497.75</v>
      </c>
      <c r="G25" s="14" t="n">
        <v>65696.75</v>
      </c>
      <c r="H25" s="21" t="n">
        <v>0.7382</v>
      </c>
      <c r="I25" s="14" t="n">
        <v>44.18</v>
      </c>
    </row>
    <row r="26">
      <c r="A26" s="9" t="inlineStr">
        <is>
          <t>B2C</t>
        </is>
      </c>
      <c r="B26" s="9" t="n">
        <v>5</v>
      </c>
      <c r="C26" s="12" t="n">
        <v>1325</v>
      </c>
      <c r="D26" s="12" t="n">
        <v>949</v>
      </c>
      <c r="E26" s="21" t="n">
        <v>0.7161999999999999</v>
      </c>
      <c r="F26" s="14" t="n">
        <v>40169.5</v>
      </c>
      <c r="G26" s="14" t="n">
        <v>58593.5</v>
      </c>
      <c r="H26" s="21" t="n">
        <v>0.6856</v>
      </c>
      <c r="I26" s="14" t="n">
        <v>44.22</v>
      </c>
    </row>
    <row r="27">
      <c r="A27" s="9" t="inlineStr">
        <is>
          <t>B2C</t>
        </is>
      </c>
      <c r="B27" s="9" t="n">
        <v>6</v>
      </c>
      <c r="C27" s="12" t="n">
        <v>1173</v>
      </c>
      <c r="D27" s="12" t="n">
        <v>788</v>
      </c>
      <c r="E27" s="21" t="n">
        <v>0.6718</v>
      </c>
      <c r="F27" s="14" t="n">
        <v>33052.25</v>
      </c>
      <c r="G27" s="14" t="n">
        <v>51917.25</v>
      </c>
      <c r="H27" s="21" t="n">
        <v>0.6366000000000001</v>
      </c>
      <c r="I27" s="14" t="n">
        <v>44.26</v>
      </c>
    </row>
    <row r="28">
      <c r="A28" s="9" t="inlineStr">
        <is>
          <t>B2C</t>
        </is>
      </c>
      <c r="B28" s="9" t="n">
        <v>7</v>
      </c>
      <c r="C28" s="12" t="n">
        <v>1011</v>
      </c>
      <c r="D28" s="12" t="n">
        <v>627</v>
      </c>
      <c r="E28" s="21" t="n">
        <v>0.6202</v>
      </c>
      <c r="F28" s="14" t="n">
        <v>26029.5</v>
      </c>
      <c r="G28" s="14" t="n">
        <v>44845.5</v>
      </c>
      <c r="H28" s="21" t="n">
        <v>0.5804</v>
      </c>
      <c r="I28" s="14" t="n">
        <v>44.36</v>
      </c>
    </row>
    <row r="29">
      <c r="A29" s="9" t="inlineStr">
        <is>
          <t>B2C</t>
        </is>
      </c>
      <c r="B29" s="9" t="n">
        <v>8</v>
      </c>
      <c r="C29" s="12" t="n">
        <v>866</v>
      </c>
      <c r="D29" s="12" t="n">
        <v>507</v>
      </c>
      <c r="E29" s="21" t="n">
        <v>0.5855</v>
      </c>
      <c r="F29" s="14" t="n">
        <v>20811</v>
      </c>
      <c r="G29" s="14" t="n">
        <v>38402</v>
      </c>
      <c r="H29" s="21" t="n">
        <v>0.5419</v>
      </c>
      <c r="I29" s="14" t="n">
        <v>44.34</v>
      </c>
    </row>
    <row r="30">
      <c r="A30" s="9" t="inlineStr">
        <is>
          <t>B2C</t>
        </is>
      </c>
      <c r="B30" s="9" t="n">
        <v>9</v>
      </c>
      <c r="C30" s="12" t="n">
        <v>735</v>
      </c>
      <c r="D30" s="12" t="n">
        <v>418</v>
      </c>
      <c r="E30" s="21" t="n">
        <v>0.5687</v>
      </c>
      <c r="F30" s="14" t="n">
        <v>17032.75</v>
      </c>
      <c r="G30" s="14" t="n">
        <v>32565.75</v>
      </c>
      <c r="H30" s="21" t="n">
        <v>0.523</v>
      </c>
      <c r="I30" s="14" t="n">
        <v>44.31</v>
      </c>
    </row>
    <row r="31">
      <c r="A31" s="9" t="inlineStr">
        <is>
          <t>B2C</t>
        </is>
      </c>
      <c r="B31" s="9" t="n">
        <v>10</v>
      </c>
      <c r="C31" s="12" t="n">
        <v>617</v>
      </c>
      <c r="D31" s="12" t="n">
        <v>339</v>
      </c>
      <c r="E31" s="21" t="n">
        <v>0.5494</v>
      </c>
      <c r="F31" s="14" t="n">
        <v>13571.25</v>
      </c>
      <c r="G31" s="14" t="n">
        <v>27193.25</v>
      </c>
      <c r="H31" s="21" t="n">
        <v>0.4991</v>
      </c>
      <c r="I31" s="14" t="n">
        <v>44.07</v>
      </c>
    </row>
    <row r="32">
      <c r="A32" s="9" t="inlineStr">
        <is>
          <t>B2C</t>
        </is>
      </c>
      <c r="B32" s="9" t="n">
        <v>11</v>
      </c>
      <c r="C32" s="12" t="n">
        <v>491</v>
      </c>
      <c r="D32" s="12" t="n">
        <v>251</v>
      </c>
      <c r="E32" s="21" t="n">
        <v>0.5112</v>
      </c>
      <c r="F32" s="14" t="n">
        <v>9889.25</v>
      </c>
      <c r="G32" s="14" t="n">
        <v>21649.25</v>
      </c>
      <c r="H32" s="21" t="n">
        <v>0.4568</v>
      </c>
      <c r="I32" s="14" t="n">
        <v>44.09</v>
      </c>
    </row>
    <row r="33">
      <c r="A33" s="9" t="inlineStr">
        <is>
          <t>B2C</t>
        </is>
      </c>
      <c r="B33" s="9" t="n">
        <v>12</v>
      </c>
      <c r="C33" s="12" t="n">
        <v>385</v>
      </c>
      <c r="D33" s="12" t="n">
        <v>181</v>
      </c>
      <c r="E33" s="21" t="n">
        <v>0.4701</v>
      </c>
      <c r="F33" s="14" t="n">
        <v>7105</v>
      </c>
      <c r="G33" s="14" t="n">
        <v>17038</v>
      </c>
      <c r="H33" s="21" t="n">
        <v>0.417</v>
      </c>
      <c r="I33" s="14" t="n">
        <v>44.25</v>
      </c>
    </row>
    <row r="34">
      <c r="A34" s="9" t="inlineStr">
        <is>
          <t>B2C</t>
        </is>
      </c>
      <c r="B34" s="9" t="n">
        <v>13</v>
      </c>
      <c r="C34" s="12" t="n">
        <v>277</v>
      </c>
      <c r="D34" s="12" t="n">
        <v>126</v>
      </c>
      <c r="E34" s="21" t="n">
        <v>0.4549</v>
      </c>
      <c r="F34" s="14" t="n">
        <v>4945.5</v>
      </c>
      <c r="G34" s="14" t="n">
        <v>12297.25</v>
      </c>
      <c r="H34" s="21" t="n">
        <v>0.4022</v>
      </c>
      <c r="I34" s="14" t="n">
        <v>44.39</v>
      </c>
    </row>
    <row r="35">
      <c r="A35" s="9" t="inlineStr">
        <is>
          <t>B2C</t>
        </is>
      </c>
      <c r="B35" s="9" t="n">
        <v>14</v>
      </c>
      <c r="C35" s="12" t="n">
        <v>175</v>
      </c>
      <c r="D35" s="12" t="n">
        <v>76</v>
      </c>
      <c r="E35" s="21" t="n">
        <v>0.4343</v>
      </c>
      <c r="F35" s="14" t="n">
        <v>2873.5</v>
      </c>
      <c r="G35" s="14" t="n">
        <v>7708.75</v>
      </c>
      <c r="H35" s="21" t="n">
        <v>0.3728</v>
      </c>
      <c r="I35" s="14" t="n">
        <v>44.05</v>
      </c>
    </row>
    <row r="36">
      <c r="A36" s="9" t="inlineStr">
        <is>
          <t>B2C</t>
        </is>
      </c>
      <c r="B36" s="9" t="n">
        <v>15</v>
      </c>
      <c r="C36" s="12" t="n">
        <v>90</v>
      </c>
      <c r="D36" s="12" t="n">
        <v>38</v>
      </c>
      <c r="E36" s="21" t="n">
        <v>0.4222</v>
      </c>
      <c r="F36" s="14" t="n">
        <v>1421</v>
      </c>
      <c r="G36" s="14" t="n">
        <v>3969</v>
      </c>
      <c r="H36" s="21" t="n">
        <v>0.358</v>
      </c>
      <c r="I36" s="14" t="n">
        <v>44.1</v>
      </c>
    </row>
    <row r="37">
      <c r="A37" s="9" t="inlineStr">
        <is>
          <t>Enterprise</t>
        </is>
      </c>
      <c r="B37" s="9" t="n">
        <v>0</v>
      </c>
      <c r="C37" s="12" t="n">
        <v>109</v>
      </c>
      <c r="D37" s="12" t="n">
        <v>109</v>
      </c>
      <c r="E37" s="21" t="n">
        <v>1</v>
      </c>
      <c r="F37" s="14" t="n">
        <v>92895</v>
      </c>
      <c r="G37" s="14" t="n">
        <v>92895</v>
      </c>
      <c r="H37" s="21" t="n">
        <v>1</v>
      </c>
      <c r="I37" s="14" t="n">
        <v>852.25</v>
      </c>
    </row>
    <row r="38">
      <c r="A38" s="9" t="inlineStr">
        <is>
          <t>Enterprise</t>
        </is>
      </c>
      <c r="B38" s="9" t="n">
        <v>1</v>
      </c>
      <c r="C38" s="12" t="n">
        <v>99</v>
      </c>
      <c r="D38" s="12" t="n">
        <v>99</v>
      </c>
      <c r="E38" s="21" t="n">
        <v>1</v>
      </c>
      <c r="F38" s="14" t="n">
        <v>84577.92</v>
      </c>
      <c r="G38" s="14" t="n">
        <v>84480</v>
      </c>
      <c r="H38" s="21" t="n">
        <v>1.0012</v>
      </c>
      <c r="I38" s="14" t="n">
        <v>853.33</v>
      </c>
    </row>
    <row r="39">
      <c r="A39" s="9" t="inlineStr">
        <is>
          <t>Enterprise</t>
        </is>
      </c>
      <c r="B39" s="9" t="n">
        <v>2</v>
      </c>
      <c r="C39" s="12" t="n">
        <v>89</v>
      </c>
      <c r="D39" s="12" t="n">
        <v>87</v>
      </c>
      <c r="E39" s="21" t="n">
        <v>0.9775</v>
      </c>
      <c r="F39" s="14" t="n">
        <v>74005.42</v>
      </c>
      <c r="G39" s="14" t="n">
        <v>75735</v>
      </c>
      <c r="H39" s="21" t="n">
        <v>0.9772</v>
      </c>
      <c r="I39" s="14" t="n">
        <v>850.96</v>
      </c>
    </row>
    <row r="40">
      <c r="A40" s="9" t="inlineStr">
        <is>
          <t>Enterprise</t>
        </is>
      </c>
      <c r="B40" s="9" t="n">
        <v>3</v>
      </c>
      <c r="C40" s="12" t="n">
        <v>79</v>
      </c>
      <c r="D40" s="12" t="n">
        <v>75</v>
      </c>
      <c r="E40" s="21" t="n">
        <v>0.9494</v>
      </c>
      <c r="F40" s="14" t="n">
        <v>63687.93</v>
      </c>
      <c r="G40" s="14" t="n">
        <v>67320</v>
      </c>
      <c r="H40" s="21" t="n">
        <v>0.946</v>
      </c>
      <c r="I40" s="14" t="n">
        <v>852.15</v>
      </c>
    </row>
    <row r="41">
      <c r="A41" s="9" t="inlineStr">
        <is>
          <t>Enterprise</t>
        </is>
      </c>
      <c r="B41" s="9" t="n">
        <v>4</v>
      </c>
      <c r="C41" s="12" t="n">
        <v>70</v>
      </c>
      <c r="D41" s="12" t="n">
        <v>66</v>
      </c>
      <c r="E41" s="21" t="n">
        <v>0.9429</v>
      </c>
      <c r="F41" s="14" t="n">
        <v>56011.6</v>
      </c>
      <c r="G41" s="14" t="n">
        <v>59565</v>
      </c>
      <c r="H41" s="21" t="n">
        <v>0.9403</v>
      </c>
      <c r="I41" s="14" t="n">
        <v>850.9299999999999</v>
      </c>
    </row>
    <row r="42">
      <c r="A42" s="9" t="inlineStr">
        <is>
          <t>Enterprise</t>
        </is>
      </c>
      <c r="B42" s="9" t="n">
        <v>5</v>
      </c>
      <c r="C42" s="12" t="n">
        <v>60</v>
      </c>
      <c r="D42" s="12" t="n">
        <v>56</v>
      </c>
      <c r="E42" s="21" t="n">
        <v>0.9333</v>
      </c>
      <c r="F42" s="14" t="n">
        <v>47761.6</v>
      </c>
      <c r="G42" s="14" t="n">
        <v>51315</v>
      </c>
      <c r="H42" s="21" t="n">
        <v>0.9308</v>
      </c>
      <c r="I42" s="14" t="n">
        <v>855.25</v>
      </c>
    </row>
    <row r="43">
      <c r="A43" s="9" t="inlineStr">
        <is>
          <t>Enterprise</t>
        </is>
      </c>
      <c r="B43" s="9" t="n">
        <v>6</v>
      </c>
      <c r="C43" s="12" t="n">
        <v>51</v>
      </c>
      <c r="D43" s="12" t="n">
        <v>47</v>
      </c>
      <c r="E43" s="21" t="n">
        <v>0.9216</v>
      </c>
      <c r="F43" s="14" t="n">
        <v>39699.82</v>
      </c>
      <c r="G43" s="14" t="n">
        <v>43560</v>
      </c>
      <c r="H43" s="21" t="n">
        <v>0.9114</v>
      </c>
      <c r="I43" s="14" t="n">
        <v>854.12</v>
      </c>
    </row>
    <row r="44">
      <c r="A44" s="9" t="inlineStr">
        <is>
          <t>Enterprise</t>
        </is>
      </c>
      <c r="B44" s="9" t="n">
        <v>7</v>
      </c>
      <c r="C44" s="12" t="n">
        <v>44</v>
      </c>
      <c r="D44" s="12" t="n">
        <v>40</v>
      </c>
      <c r="E44" s="21" t="n">
        <v>0.9091</v>
      </c>
      <c r="F44" s="14" t="n">
        <v>34072.04</v>
      </c>
      <c r="G44" s="14" t="n">
        <v>37620</v>
      </c>
      <c r="H44" s="21" t="n">
        <v>0.9056999999999999</v>
      </c>
      <c r="I44" s="14" t="n">
        <v>855</v>
      </c>
    </row>
    <row r="45">
      <c r="A45" s="9" t="inlineStr">
        <is>
          <t>Enterprise</t>
        </is>
      </c>
      <c r="B45" s="9" t="n">
        <v>8</v>
      </c>
      <c r="C45" s="12" t="n">
        <v>37</v>
      </c>
      <c r="D45" s="12" t="n">
        <v>33</v>
      </c>
      <c r="E45" s="21" t="n">
        <v>0.8919</v>
      </c>
      <c r="F45" s="14" t="n">
        <v>27888.85</v>
      </c>
      <c r="G45" s="14" t="n">
        <v>31680</v>
      </c>
      <c r="H45" s="21" t="n">
        <v>0.8803</v>
      </c>
      <c r="I45" s="14" t="n">
        <v>856.22</v>
      </c>
    </row>
    <row r="46">
      <c r="A46" s="9" t="inlineStr">
        <is>
          <t>Enterprise</t>
        </is>
      </c>
      <c r="B46" s="9" t="n">
        <v>9</v>
      </c>
      <c r="C46" s="12" t="n">
        <v>32</v>
      </c>
      <c r="D46" s="12" t="n">
        <v>28</v>
      </c>
      <c r="E46" s="21" t="n">
        <v>0.875</v>
      </c>
      <c r="F46" s="14" t="n">
        <v>23295.08</v>
      </c>
      <c r="G46" s="14" t="n">
        <v>27390</v>
      </c>
      <c r="H46" s="21" t="n">
        <v>0.8505</v>
      </c>
      <c r="I46" s="14" t="n">
        <v>855.9400000000001</v>
      </c>
    </row>
    <row r="47">
      <c r="A47" s="9" t="inlineStr">
        <is>
          <t>Enterprise</t>
        </is>
      </c>
      <c r="B47" s="9" t="n">
        <v>10</v>
      </c>
      <c r="C47" s="12" t="n">
        <v>25</v>
      </c>
      <c r="D47" s="12" t="n">
        <v>20</v>
      </c>
      <c r="E47" s="21" t="n">
        <v>0.8</v>
      </c>
      <c r="F47" s="14" t="n">
        <v>16470.26</v>
      </c>
      <c r="G47" s="14" t="n">
        <v>21615</v>
      </c>
      <c r="H47" s="21" t="n">
        <v>0.762</v>
      </c>
      <c r="I47" s="14" t="n">
        <v>864.6</v>
      </c>
    </row>
    <row r="48">
      <c r="A48" s="9" t="inlineStr">
        <is>
          <t>Enterprise</t>
        </is>
      </c>
      <c r="B48" s="9" t="n">
        <v>11</v>
      </c>
      <c r="C48" s="12" t="n">
        <v>20</v>
      </c>
      <c r="D48" s="12" t="n">
        <v>17</v>
      </c>
      <c r="E48" s="21" t="n">
        <v>0.85</v>
      </c>
      <c r="F48" s="14" t="n">
        <v>14025</v>
      </c>
      <c r="G48" s="14" t="n">
        <v>16995</v>
      </c>
      <c r="H48" s="21" t="n">
        <v>0.8252</v>
      </c>
      <c r="I48" s="14" t="n">
        <v>849.75</v>
      </c>
    </row>
    <row r="49">
      <c r="A49" s="9" t="inlineStr">
        <is>
          <t>Enterprise</t>
        </is>
      </c>
      <c r="B49" s="9" t="n">
        <v>12</v>
      </c>
      <c r="C49" s="12" t="n">
        <v>13</v>
      </c>
      <c r="D49" s="12" t="n">
        <v>9</v>
      </c>
      <c r="E49" s="21" t="n">
        <v>0.6923</v>
      </c>
      <c r="F49" s="14" t="n">
        <v>7339.99</v>
      </c>
      <c r="G49" s="14" t="n">
        <v>11220</v>
      </c>
      <c r="H49" s="21" t="n">
        <v>0.6542</v>
      </c>
      <c r="I49" s="14" t="n">
        <v>863.08</v>
      </c>
    </row>
    <row r="50">
      <c r="A50" s="9" t="inlineStr">
        <is>
          <t>Enterprise</t>
        </is>
      </c>
      <c r="B50" s="9" t="n">
        <v>13</v>
      </c>
      <c r="C50" s="12" t="n">
        <v>9</v>
      </c>
      <c r="D50" s="12" t="n">
        <v>6</v>
      </c>
      <c r="E50" s="21" t="n">
        <v>0.6667</v>
      </c>
      <c r="F50" s="14" t="n">
        <v>4864.99</v>
      </c>
      <c r="G50" s="14" t="n">
        <v>7755</v>
      </c>
      <c r="H50" s="21" t="n">
        <v>0.6273</v>
      </c>
      <c r="I50" s="14" t="n">
        <v>861.67</v>
      </c>
    </row>
    <row r="51">
      <c r="A51" s="9" t="inlineStr">
        <is>
          <t>Enterprise</t>
        </is>
      </c>
      <c r="B51" s="9" t="n">
        <v>14</v>
      </c>
      <c r="C51" s="12" t="n">
        <v>4</v>
      </c>
      <c r="D51" s="12" t="n">
        <v>3</v>
      </c>
      <c r="E51" s="21" t="n">
        <v>0.75</v>
      </c>
      <c r="F51" s="14" t="n">
        <v>2389.99</v>
      </c>
      <c r="G51" s="14" t="n">
        <v>3465</v>
      </c>
      <c r="H51" s="21" t="n">
        <v>0.6898</v>
      </c>
      <c r="I51" s="14" t="n">
        <v>866.25</v>
      </c>
    </row>
    <row r="52">
      <c r="A52" s="9" t="inlineStr">
        <is>
          <t>Enterprise</t>
        </is>
      </c>
      <c r="B52" s="9" t="n">
        <v>15</v>
      </c>
      <c r="C52" s="12" t="n">
        <v>2</v>
      </c>
      <c r="D52" s="12" t="n">
        <v>2</v>
      </c>
      <c r="E52" s="21" t="n">
        <v>1</v>
      </c>
      <c r="F52" s="14" t="n">
        <v>1692.63</v>
      </c>
      <c r="G52" s="14" t="n">
        <v>1650</v>
      </c>
      <c r="H52" s="21" t="n">
        <v>1.0258</v>
      </c>
      <c r="I52" s="14" t="n">
        <v>825</v>
      </c>
    </row>
    <row r="53">
      <c r="A53" s="9" t="inlineStr">
        <is>
          <t>SMB</t>
        </is>
      </c>
      <c r="B53" s="9" t="n">
        <v>0</v>
      </c>
      <c r="C53" s="12" t="n">
        <v>361</v>
      </c>
      <c r="D53" s="12" t="n">
        <v>360</v>
      </c>
      <c r="E53" s="21" t="n">
        <v>0.9972</v>
      </c>
      <c r="F53" s="14" t="n">
        <v>62265.71999999999</v>
      </c>
      <c r="G53" s="14" t="n">
        <v>62265.71999999999</v>
      </c>
      <c r="H53" s="21" t="n">
        <v>1</v>
      </c>
      <c r="I53" s="14" t="n">
        <v>172.48</v>
      </c>
    </row>
    <row r="54">
      <c r="A54" s="9" t="inlineStr">
        <is>
          <t>SMB</t>
        </is>
      </c>
      <c r="B54" s="9" t="n">
        <v>1</v>
      </c>
      <c r="C54" s="12" t="n">
        <v>328</v>
      </c>
      <c r="D54" s="12" t="n">
        <v>317</v>
      </c>
      <c r="E54" s="21" t="n">
        <v>0.9665</v>
      </c>
      <c r="F54" s="14" t="n">
        <v>55288.60999999999</v>
      </c>
      <c r="G54" s="14" t="n">
        <v>56778.48</v>
      </c>
      <c r="H54" s="21" t="n">
        <v>0.9738</v>
      </c>
      <c r="I54" s="14" t="n">
        <v>173.11</v>
      </c>
    </row>
    <row r="55">
      <c r="A55" s="9" t="inlineStr">
        <is>
          <t>SMB</t>
        </is>
      </c>
      <c r="B55" s="9" t="n">
        <v>2</v>
      </c>
      <c r="C55" s="12" t="n">
        <v>294</v>
      </c>
      <c r="D55" s="12" t="n">
        <v>272</v>
      </c>
      <c r="E55" s="21" t="n">
        <v>0.9252</v>
      </c>
      <c r="F55" s="14" t="n">
        <v>47562.18</v>
      </c>
      <c r="G55" s="14" t="n">
        <v>50895.92</v>
      </c>
      <c r="H55" s="21" t="n">
        <v>0.9345</v>
      </c>
      <c r="I55" s="14" t="n">
        <v>173.12</v>
      </c>
    </row>
    <row r="56">
      <c r="A56" s="9" t="inlineStr">
        <is>
          <t>SMB</t>
        </is>
      </c>
      <c r="B56" s="9" t="n">
        <v>3</v>
      </c>
      <c r="C56" s="12" t="n">
        <v>261</v>
      </c>
      <c r="D56" s="12" t="n">
        <v>230</v>
      </c>
      <c r="E56" s="21" t="n">
        <v>0.8812</v>
      </c>
      <c r="F56" s="14" t="n">
        <v>40563.46000000001</v>
      </c>
      <c r="G56" s="14" t="n">
        <v>45261.44</v>
      </c>
      <c r="H56" s="21" t="n">
        <v>0.8962</v>
      </c>
      <c r="I56" s="14" t="n">
        <v>173.42</v>
      </c>
    </row>
    <row r="57">
      <c r="A57" s="9" t="inlineStr">
        <is>
          <t>SMB</t>
        </is>
      </c>
      <c r="B57" s="9" t="n">
        <v>4</v>
      </c>
      <c r="C57" s="12" t="n">
        <v>230</v>
      </c>
      <c r="D57" s="12" t="n">
        <v>193</v>
      </c>
      <c r="E57" s="21" t="n">
        <v>0.8391</v>
      </c>
      <c r="F57" s="14" t="n">
        <v>34032.50000000001</v>
      </c>
      <c r="G57" s="14" t="n">
        <v>39779.56</v>
      </c>
      <c r="H57" s="21" t="n">
        <v>0.8555</v>
      </c>
      <c r="I57" s="14" t="n">
        <v>172.95</v>
      </c>
    </row>
    <row r="58">
      <c r="A58" s="9" t="inlineStr">
        <is>
          <t>SMB</t>
        </is>
      </c>
      <c r="B58" s="9" t="n">
        <v>5</v>
      </c>
      <c r="C58" s="12" t="n">
        <v>202</v>
      </c>
      <c r="D58" s="12" t="n">
        <v>164</v>
      </c>
      <c r="E58" s="21" t="n">
        <v>0.8119</v>
      </c>
      <c r="F58" s="14" t="n">
        <v>28648.42</v>
      </c>
      <c r="G58" s="14" t="n">
        <v>35044.60000000001</v>
      </c>
      <c r="H58" s="21" t="n">
        <v>0.8175</v>
      </c>
      <c r="I58" s="14" t="n">
        <v>173.49</v>
      </c>
    </row>
    <row r="59">
      <c r="A59" s="9" t="inlineStr">
        <is>
          <t>SMB</t>
        </is>
      </c>
      <c r="B59" s="9" t="n">
        <v>6</v>
      </c>
      <c r="C59" s="12" t="n">
        <v>178</v>
      </c>
      <c r="D59" s="12" t="n">
        <v>142</v>
      </c>
      <c r="E59" s="21" t="n">
        <v>0.7978</v>
      </c>
      <c r="F59" s="14" t="n">
        <v>24919.39000000001</v>
      </c>
      <c r="G59" s="14" t="n">
        <v>30808.48000000001</v>
      </c>
      <c r="H59" s="21" t="n">
        <v>0.8088</v>
      </c>
      <c r="I59" s="14" t="n">
        <v>173.08</v>
      </c>
    </row>
    <row r="60">
      <c r="A60" s="9" t="inlineStr">
        <is>
          <t>SMB</t>
        </is>
      </c>
      <c r="B60" s="9" t="n">
        <v>7</v>
      </c>
      <c r="C60" s="12" t="n">
        <v>156</v>
      </c>
      <c r="D60" s="12" t="n">
        <v>126</v>
      </c>
      <c r="E60" s="21" t="n">
        <v>0.8077</v>
      </c>
      <c r="F60" s="14" t="n">
        <v>22556.27</v>
      </c>
      <c r="G60" s="14" t="n">
        <v>27068.52</v>
      </c>
      <c r="H60" s="21" t="n">
        <v>0.8333</v>
      </c>
      <c r="I60" s="14" t="n">
        <v>173.52</v>
      </c>
    </row>
    <row r="61">
      <c r="A61" s="9" t="inlineStr">
        <is>
          <t>SMB</t>
        </is>
      </c>
      <c r="B61" s="9" t="n">
        <v>8</v>
      </c>
      <c r="C61" s="12" t="n">
        <v>133</v>
      </c>
      <c r="D61" s="12" t="n">
        <v>104</v>
      </c>
      <c r="E61" s="21" t="n">
        <v>0.782</v>
      </c>
      <c r="F61" s="14" t="n">
        <v>19029.3</v>
      </c>
      <c r="G61" s="14" t="n">
        <v>23227.72</v>
      </c>
      <c r="H61" s="21" t="n">
        <v>0.8192</v>
      </c>
      <c r="I61" s="14" t="n">
        <v>174.64</v>
      </c>
    </row>
    <row r="62">
      <c r="A62" s="9" t="inlineStr">
        <is>
          <t>SMB</t>
        </is>
      </c>
      <c r="B62" s="9" t="n">
        <v>9</v>
      </c>
      <c r="C62" s="12" t="n">
        <v>112</v>
      </c>
      <c r="D62" s="12" t="n">
        <v>90</v>
      </c>
      <c r="E62" s="21" t="n">
        <v>0.8036</v>
      </c>
      <c r="F62" s="14" t="n">
        <v>16804.62</v>
      </c>
      <c r="G62" s="14" t="n">
        <v>19539.52</v>
      </c>
      <c r="H62" s="21" t="n">
        <v>0.86</v>
      </c>
      <c r="I62" s="14" t="n">
        <v>174.46</v>
      </c>
    </row>
    <row r="63">
      <c r="A63" s="9" t="inlineStr">
        <is>
          <t>SMB</t>
        </is>
      </c>
      <c r="B63" s="9" t="n">
        <v>10</v>
      </c>
      <c r="C63" s="12" t="n">
        <v>91</v>
      </c>
      <c r="D63" s="12" t="n">
        <v>75</v>
      </c>
      <c r="E63" s="21" t="n">
        <v>0.8242</v>
      </c>
      <c r="F63" s="14" t="n">
        <v>13924.93</v>
      </c>
      <c r="G63" s="14" t="n">
        <v>15753.16</v>
      </c>
      <c r="H63" s="21" t="n">
        <v>0.8839</v>
      </c>
      <c r="I63" s="14" t="n">
        <v>173.11</v>
      </c>
    </row>
    <row r="64">
      <c r="A64" s="9" t="inlineStr">
        <is>
          <t>SMB</t>
        </is>
      </c>
      <c r="B64" s="9" t="n">
        <v>11</v>
      </c>
      <c r="C64" s="12" t="n">
        <v>74</v>
      </c>
      <c r="D64" s="12" t="n">
        <v>60</v>
      </c>
      <c r="E64" s="21" t="n">
        <v>0.8108</v>
      </c>
      <c r="F64" s="14" t="n">
        <v>11136.4</v>
      </c>
      <c r="G64" s="14" t="n">
        <v>12811.88</v>
      </c>
      <c r="H64" s="21" t="n">
        <v>0.8692</v>
      </c>
      <c r="I64" s="14" t="n">
        <v>173.13</v>
      </c>
    </row>
    <row r="65">
      <c r="A65" s="9" t="inlineStr">
        <is>
          <t>SMB</t>
        </is>
      </c>
      <c r="B65" s="9" t="n">
        <v>12</v>
      </c>
      <c r="C65" s="12" t="n">
        <v>53</v>
      </c>
      <c r="D65" s="12" t="n">
        <v>41</v>
      </c>
      <c r="E65" s="21" t="n">
        <v>0.7736</v>
      </c>
      <c r="F65" s="14" t="n">
        <v>8036.4</v>
      </c>
      <c r="G65" s="14" t="n">
        <v>9221.84</v>
      </c>
      <c r="H65" s="21" t="n">
        <v>0.8715000000000001</v>
      </c>
      <c r="I65" s="14" t="n">
        <v>174</v>
      </c>
    </row>
    <row r="66">
      <c r="A66" s="9" t="inlineStr">
        <is>
          <t>SMB</t>
        </is>
      </c>
      <c r="B66" s="9" t="n">
        <v>13</v>
      </c>
      <c r="C66" s="12" t="n">
        <v>40</v>
      </c>
      <c r="D66" s="12" t="n">
        <v>32</v>
      </c>
      <c r="E66" s="21" t="n">
        <v>0.8</v>
      </c>
      <c r="F66" s="14" t="n">
        <v>5878.34</v>
      </c>
      <c r="G66" s="14" t="n">
        <v>6831.160000000001</v>
      </c>
      <c r="H66" s="21" t="n">
        <v>0.8605</v>
      </c>
      <c r="I66" s="14" t="n">
        <v>170.78</v>
      </c>
    </row>
    <row r="67">
      <c r="A67" s="9" t="inlineStr">
        <is>
          <t>SMB</t>
        </is>
      </c>
      <c r="B67" s="9" t="n">
        <v>14</v>
      </c>
      <c r="C67" s="12" t="n">
        <v>24</v>
      </c>
      <c r="D67" s="12" t="n">
        <v>20</v>
      </c>
      <c r="E67" s="21" t="n">
        <v>0.8333</v>
      </c>
      <c r="F67" s="14" t="n">
        <v>3409.070000000001</v>
      </c>
      <c r="G67" s="14" t="n">
        <v>3990.72</v>
      </c>
      <c r="H67" s="21" t="n">
        <v>0.8542</v>
      </c>
      <c r="I67" s="14" t="n">
        <v>166.28</v>
      </c>
    </row>
    <row r="68">
      <c r="A68" s="9" t="inlineStr">
        <is>
          <t>SMB</t>
        </is>
      </c>
      <c r="B68" s="9" t="n">
        <v>15</v>
      </c>
      <c r="C68" s="12" t="n">
        <v>9</v>
      </c>
      <c r="D68" s="12" t="n">
        <v>7</v>
      </c>
      <c r="E68" s="21" t="n">
        <v>0.7778</v>
      </c>
      <c r="F68" s="14" t="n">
        <v>1339.02</v>
      </c>
      <c r="G68" s="14" t="n">
        <v>1545.6</v>
      </c>
      <c r="H68" s="21" t="n">
        <v>0.8663</v>
      </c>
      <c r="I68" s="14" t="n">
        <v>171.73</v>
      </c>
    </row>
    <row r="69">
      <c r="A69" s="9" t="inlineStr">
        <is>
          <t>Total</t>
        </is>
      </c>
      <c r="B69" s="9" t="n">
        <v>0</v>
      </c>
      <c r="C69" s="12" t="n">
        <v>2695</v>
      </c>
      <c r="D69" s="12" t="n">
        <v>2691</v>
      </c>
      <c r="E69" s="21" t="n">
        <v>0.9985000000000001</v>
      </c>
      <c r="F69" s="14" t="n">
        <v>253076.7199999999</v>
      </c>
      <c r="G69" s="14" t="n">
        <v>253076.7199999999</v>
      </c>
      <c r="H69" s="21" t="n">
        <v>1</v>
      </c>
      <c r="I69" s="14" t="n">
        <v>93.91</v>
      </c>
    </row>
    <row r="70">
      <c r="A70" s="9" t="inlineStr">
        <is>
          <t>Total</t>
        </is>
      </c>
      <c r="B70" s="9" t="n">
        <v>1</v>
      </c>
      <c r="C70" s="12" t="n">
        <v>2456</v>
      </c>
      <c r="D70" s="12" t="n">
        <v>2319</v>
      </c>
      <c r="E70" s="21" t="n">
        <v>0.9442</v>
      </c>
      <c r="F70" s="14" t="n">
        <v>222954.7799999999</v>
      </c>
      <c r="G70" s="14" t="n">
        <v>230373.7299999999</v>
      </c>
      <c r="H70" s="21" t="n">
        <v>0.9678</v>
      </c>
      <c r="I70" s="14" t="n">
        <v>93.8</v>
      </c>
    </row>
    <row r="71">
      <c r="A71" s="9" t="inlineStr">
        <is>
          <t>Total</t>
        </is>
      </c>
      <c r="B71" s="9" t="n">
        <v>2</v>
      </c>
      <c r="C71" s="12" t="n">
        <v>2227</v>
      </c>
      <c r="D71" s="12" t="n">
        <v>1952</v>
      </c>
      <c r="E71" s="21" t="n">
        <v>0.8764999999999999</v>
      </c>
      <c r="F71" s="14" t="n">
        <v>190410.8499999999</v>
      </c>
      <c r="G71" s="14" t="n">
        <v>207724.1699999999</v>
      </c>
      <c r="H71" s="21" t="n">
        <v>0.9167</v>
      </c>
      <c r="I71" s="14" t="n">
        <v>93.28</v>
      </c>
    </row>
    <row r="72">
      <c r="A72" s="9" t="inlineStr">
        <is>
          <t>Total</t>
        </is>
      </c>
      <c r="B72" s="9" t="n">
        <v>3</v>
      </c>
      <c r="C72" s="12" t="n">
        <v>1995</v>
      </c>
      <c r="D72" s="12" t="n">
        <v>1634</v>
      </c>
      <c r="E72" s="21" t="n">
        <v>0.819</v>
      </c>
      <c r="F72" s="14" t="n">
        <v>161292.64</v>
      </c>
      <c r="G72" s="14" t="n">
        <v>185547.6899999999</v>
      </c>
      <c r="H72" s="21" t="n">
        <v>0.8693</v>
      </c>
      <c r="I72" s="14" t="n">
        <v>93.01000000000001</v>
      </c>
    </row>
    <row r="73">
      <c r="A73" s="9" t="inlineStr">
        <is>
          <t>Total</t>
        </is>
      </c>
      <c r="B73" s="9" t="n">
        <v>4</v>
      </c>
      <c r="C73" s="12" t="n">
        <v>1787</v>
      </c>
      <c r="D73" s="12" t="n">
        <v>1395</v>
      </c>
      <c r="E73" s="21" t="n">
        <v>0.7806</v>
      </c>
      <c r="F73" s="14" t="n">
        <v>138541.85</v>
      </c>
      <c r="G73" s="14" t="n">
        <v>165041.31</v>
      </c>
      <c r="H73" s="21" t="n">
        <v>0.8394</v>
      </c>
      <c r="I73" s="14" t="n">
        <v>92.36</v>
      </c>
    </row>
    <row r="74">
      <c r="A74" s="9" t="inlineStr">
        <is>
          <t>Total</t>
        </is>
      </c>
      <c r="B74" s="9" t="n">
        <v>5</v>
      </c>
      <c r="C74" s="12" t="n">
        <v>1587</v>
      </c>
      <c r="D74" s="12" t="n">
        <v>1169</v>
      </c>
      <c r="E74" s="21" t="n">
        <v>0.7366</v>
      </c>
      <c r="F74" s="14" t="n">
        <v>116579.52</v>
      </c>
      <c r="G74" s="14" t="n">
        <v>144953.1</v>
      </c>
      <c r="H74" s="21" t="n">
        <v>0.8043</v>
      </c>
      <c r="I74" s="14" t="n">
        <v>91.34</v>
      </c>
    </row>
    <row r="75">
      <c r="A75" s="9" t="inlineStr">
        <is>
          <t>Total</t>
        </is>
      </c>
      <c r="B75" s="9" t="n">
        <v>6</v>
      </c>
      <c r="C75" s="12" t="n">
        <v>1402</v>
      </c>
      <c r="D75" s="12" t="n">
        <v>977</v>
      </c>
      <c r="E75" s="21" t="n">
        <v>0.6969</v>
      </c>
      <c r="F75" s="14" t="n">
        <v>97671.46000000001</v>
      </c>
      <c r="G75" s="14" t="n">
        <v>126285.73</v>
      </c>
      <c r="H75" s="21" t="n">
        <v>0.7734</v>
      </c>
      <c r="I75" s="14" t="n">
        <v>90.08</v>
      </c>
    </row>
    <row r="76">
      <c r="A76" s="9" t="inlineStr">
        <is>
          <t>Total</t>
        </is>
      </c>
      <c r="B76" s="9" t="n">
        <v>7</v>
      </c>
      <c r="C76" s="12" t="n">
        <v>1211</v>
      </c>
      <c r="D76" s="12" t="n">
        <v>793</v>
      </c>
      <c r="E76" s="21" t="n">
        <v>0.6548</v>
      </c>
      <c r="F76" s="14" t="n">
        <v>82657.81</v>
      </c>
      <c r="G76" s="14" t="n">
        <v>109534.02</v>
      </c>
      <c r="H76" s="21" t="n">
        <v>0.7546</v>
      </c>
      <c r="I76" s="14" t="n">
        <v>90.45</v>
      </c>
    </row>
    <row r="77">
      <c r="A77" s="9" t="inlineStr">
        <is>
          <t>Total</t>
        </is>
      </c>
      <c r="B77" s="9" t="n">
        <v>8</v>
      </c>
      <c r="C77" s="12" t="n">
        <v>1036</v>
      </c>
      <c r="D77" s="12" t="n">
        <v>644</v>
      </c>
      <c r="E77" s="21" t="n">
        <v>0.6216</v>
      </c>
      <c r="F77" s="14" t="n">
        <v>67729.14999999999</v>
      </c>
      <c r="G77" s="14" t="n">
        <v>93309.72000000002</v>
      </c>
      <c r="H77" s="21" t="n">
        <v>0.7259</v>
      </c>
      <c r="I77" s="14" t="n">
        <v>90.06999999999999</v>
      </c>
    </row>
    <row r="78">
      <c r="A78" s="9" t="inlineStr">
        <is>
          <t>Total</t>
        </is>
      </c>
      <c r="B78" s="9" t="n">
        <v>9</v>
      </c>
      <c r="C78" s="12" t="n">
        <v>879</v>
      </c>
      <c r="D78" s="12" t="n">
        <v>536</v>
      </c>
      <c r="E78" s="21" t="n">
        <v>0.6098</v>
      </c>
      <c r="F78" s="14" t="n">
        <v>57132.45</v>
      </c>
      <c r="G78" s="14" t="n">
        <v>79495.27</v>
      </c>
      <c r="H78" s="21" t="n">
        <v>0.7187</v>
      </c>
      <c r="I78" s="14" t="n">
        <v>90.44</v>
      </c>
    </row>
    <row r="79">
      <c r="A79" s="9" t="inlineStr">
        <is>
          <t>Total</t>
        </is>
      </c>
      <c r="B79" s="9" t="n">
        <v>10</v>
      </c>
      <c r="C79" s="12" t="n">
        <v>733</v>
      </c>
      <c r="D79" s="12" t="n">
        <v>434</v>
      </c>
      <c r="E79" s="21" t="n">
        <v>0.5921</v>
      </c>
      <c r="F79" s="14" t="n">
        <v>43966.44</v>
      </c>
      <c r="G79" s="14" t="n">
        <v>64561.41</v>
      </c>
      <c r="H79" s="21" t="n">
        <v>0.681</v>
      </c>
      <c r="I79" s="14" t="n">
        <v>88.08</v>
      </c>
    </row>
    <row r="80">
      <c r="A80" s="9" t="inlineStr">
        <is>
          <t>Total</t>
        </is>
      </c>
      <c r="B80" s="9" t="n">
        <v>11</v>
      </c>
      <c r="C80" s="12" t="n">
        <v>585</v>
      </c>
      <c r="D80" s="12" t="n">
        <v>328</v>
      </c>
      <c r="E80" s="21" t="n">
        <v>0.5607</v>
      </c>
      <c r="F80" s="14" t="n">
        <v>35050.65</v>
      </c>
      <c r="G80" s="14" t="n">
        <v>51456.13</v>
      </c>
      <c r="H80" s="21" t="n">
        <v>0.6812</v>
      </c>
      <c r="I80" s="14" t="n">
        <v>87.95999999999999</v>
      </c>
    </row>
    <row r="81">
      <c r="A81" s="9" t="inlineStr">
        <is>
          <t>Total</t>
        </is>
      </c>
      <c r="B81" s="9" t="n">
        <v>12</v>
      </c>
      <c r="C81" s="12" t="n">
        <v>451</v>
      </c>
      <c r="D81" s="12" t="n">
        <v>231</v>
      </c>
      <c r="E81" s="21" t="n">
        <v>0.5122</v>
      </c>
      <c r="F81" s="14" t="n">
        <v>22481.39</v>
      </c>
      <c r="G81" s="14" t="n">
        <v>37479.84</v>
      </c>
      <c r="H81" s="21" t="n">
        <v>0.5998</v>
      </c>
      <c r="I81" s="14" t="n">
        <v>83.09999999999999</v>
      </c>
    </row>
    <row r="82">
      <c r="A82" s="9" t="inlineStr">
        <is>
          <t>Total</t>
        </is>
      </c>
      <c r="B82" s="9" t="n">
        <v>13</v>
      </c>
      <c r="C82" s="12" t="n">
        <v>326</v>
      </c>
      <c r="D82" s="12" t="n">
        <v>164</v>
      </c>
      <c r="E82" s="21" t="n">
        <v>0.5031</v>
      </c>
      <c r="F82" s="14" t="n">
        <v>15688.83</v>
      </c>
      <c r="G82" s="14" t="n">
        <v>26883.41</v>
      </c>
      <c r="H82" s="21" t="n">
        <v>0.5836</v>
      </c>
      <c r="I82" s="14" t="n">
        <v>82.45999999999999</v>
      </c>
    </row>
    <row r="83">
      <c r="A83" s="9" t="inlineStr">
        <is>
          <t>Total</t>
        </is>
      </c>
      <c r="B83" s="9" t="n">
        <v>14</v>
      </c>
      <c r="C83" s="12" t="n">
        <v>203</v>
      </c>
      <c r="D83" s="12" t="n">
        <v>99</v>
      </c>
      <c r="E83" s="21" t="n">
        <v>0.4877</v>
      </c>
      <c r="F83" s="14" t="n">
        <v>8672.559999999999</v>
      </c>
      <c r="G83" s="14" t="n">
        <v>15164.47</v>
      </c>
      <c r="H83" s="21" t="n">
        <v>0.5719</v>
      </c>
      <c r="I83" s="14" t="n">
        <v>74.7</v>
      </c>
    </row>
    <row r="84">
      <c r="A84" s="9" t="inlineStr">
        <is>
          <t>Total</t>
        </is>
      </c>
      <c r="B84" s="9" t="n">
        <v>15</v>
      </c>
      <c r="C84" s="12" t="n">
        <v>101</v>
      </c>
      <c r="D84" s="12" t="n">
        <v>47</v>
      </c>
      <c r="E84" s="21" t="n">
        <v>0.4653</v>
      </c>
      <c r="F84" s="14" t="n">
        <v>4452.650000000001</v>
      </c>
      <c r="G84" s="14" t="n">
        <v>7164.6</v>
      </c>
      <c r="H84" s="21" t="n">
        <v>0.6215000000000001</v>
      </c>
      <c r="I84" s="14" t="n">
        <v>70.94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3" customWidth="1" min="5" max="5"/>
    <col width="13" customWidth="1" min="6" max="6"/>
    <col width="14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Answers_Q1_Q4</t>
        </is>
      </c>
    </row>
    <row r="2">
      <c r="A2" s="2" t="inlineStr">
        <is>
          <t>The four ad-hoc questions. Q1 (MRR by segment) and Q3 (active subs by segment x plan) are rebuilt with formulas from Data_MRR / the Assumptions starting-stock block. Q2 (Q1-24 retention) and Q4 (NDR T12M) link to small data blocks exported from mart_q2_retention_q1_24 / mart_q4_ndr_t12m: their definitions (M-06 renewal-event retention; M-08/M-09/M-10 NDR/GRR/expansion-contraction) require row-level subscription-period data and a customer-level cohort join that are impractical to rebuild as spreadsheet formulas -- that computation lives in SQL (sql/marts/mart_q2_retention_q1_24.sql, mart_q4_ndr_t12m.sql); this tab links the finished mart output instead of re-deriving it.</t>
        </is>
      </c>
    </row>
    <row r="4">
      <c r="A4" s="3" t="inlineStr">
        <is>
          <t>Q1 -- MRR by segment, Apr-24 (M-01..M-04; formula from Data_MRR)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6" t="inlineStr">
        <is>
          <t>Segment</t>
        </is>
      </c>
      <c r="B5" s="6" t="inlineStr">
        <is>
          <t>MRR Apr-24</t>
        </is>
      </c>
      <c r="C5" s="6" t="inlineStr">
        <is>
          <t>% of total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>
      <c r="A6" s="5" t="inlineStr">
        <is>
          <t>B2C</t>
        </is>
      </c>
      <c r="B6" s="15">
        <f>SUMIFS(Data_MRR!$H:$H,Data_MRR!$B:$B,"B2C",Data_MRR!$A:$A,Assumptions!$B$10)</f>
        <v/>
      </c>
      <c r="C6" s="22">
        <f>B6/$B$9</f>
        <v/>
      </c>
    </row>
    <row r="7">
      <c r="A7" s="5" t="inlineStr">
        <is>
          <t>SMB</t>
        </is>
      </c>
      <c r="B7" s="15">
        <f>SUMIFS(Data_MRR!$H:$H,Data_MRR!$B:$B,"SMB",Data_MRR!$A:$A,Assumptions!$B$10)</f>
        <v/>
      </c>
      <c r="C7" s="22">
        <f>B7/$B$9</f>
        <v/>
      </c>
    </row>
    <row r="8">
      <c r="A8" s="5" t="inlineStr">
        <is>
          <t>Enterprise</t>
        </is>
      </c>
      <c r="B8" s="15">
        <f>SUMIFS(Data_MRR!$H:$H,Data_MRR!$B:$B,"Enterprise",Data_MRR!$A:$A,Assumptions!$B$10)</f>
        <v/>
      </c>
      <c r="C8" s="22">
        <f>B8/$B$9</f>
        <v/>
      </c>
    </row>
    <row r="9">
      <c r="A9" s="7" t="inlineStr">
        <is>
          <t>Total (= sum of segments)</t>
        </is>
      </c>
      <c r="B9" s="23">
        <f>SUM(B6:B8)</f>
        <v/>
      </c>
      <c r="C9" s="22">
        <f>B9/$B$9</f>
        <v/>
      </c>
    </row>
    <row r="11">
      <c r="A11" s="3" t="inlineStr">
        <is>
          <t>Q2 -- Q1-2024 retention, B2C vs B2B (M-06 primary; linked from mart_q2_retention_q1_24)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6" t="inlineStr">
        <is>
          <t>Segment</t>
        </is>
      </c>
      <c r="B12" s="6" t="inlineStr">
        <is>
          <t>Logo retention (all plans)</t>
        </is>
      </c>
      <c r="C12" s="6" t="inlineStr">
        <is>
          <t>$ retention (all plans)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5" t="inlineStr">
        <is>
          <t>B2C</t>
        </is>
      </c>
      <c r="B13" s="24">
        <f>SUMPRODUCT(($A$21:$A$40="B2C")*($B$21:$B$40="all")*($C$21:$C$40="M06_primary")*$G$21:$G$40)</f>
        <v/>
      </c>
      <c r="C13" s="24">
        <f>SUMPRODUCT(($A$21:$A$40="B2C")*($B$21:$B$40="all")*($C$21:$C$40="M06_primary")*$J$21:$J$40)</f>
        <v/>
      </c>
    </row>
    <row r="14">
      <c r="A14" s="5" t="inlineStr">
        <is>
          <t>SMB</t>
        </is>
      </c>
      <c r="B14" s="24">
        <f>SUMPRODUCT(($A$21:$A$40="SMB")*($B$21:$B$40="all")*($C$21:$C$40="M06_primary")*$G$21:$G$40)</f>
        <v/>
      </c>
      <c r="C14" s="24">
        <f>SUMPRODUCT(($A$21:$A$40="SMB")*($B$21:$B$40="all")*($C$21:$C$40="M06_primary")*$J$21:$J$40)</f>
        <v/>
      </c>
    </row>
    <row r="15">
      <c r="A15" s="5" t="inlineStr">
        <is>
          <t>Enterprise</t>
        </is>
      </c>
      <c r="B15" s="24">
        <f>SUMPRODUCT(($A$21:$A$40="Enterprise")*($B$21:$B$40="all")*($C$21:$C$40="M06_primary")*$G$21:$G$40)</f>
        <v/>
      </c>
      <c r="C15" s="24">
        <f>SUMPRODUCT(($A$21:$A$40="Enterprise")*($B$21:$B$40="all")*($C$21:$C$40="M06_primary")*$J$21:$J$40)</f>
        <v/>
      </c>
    </row>
    <row r="16">
      <c r="A16" s="5" t="inlineStr">
        <is>
          <t>B2B</t>
        </is>
      </c>
      <c r="B16" s="24">
        <f>SUMPRODUCT(($A$21:$A$40="B2B")*($B$21:$B$40="all")*($C$21:$C$40="M06_primary")*$G$21:$G$40)</f>
        <v/>
      </c>
      <c r="C16" s="24">
        <f>SUMPRODUCT(($A$21:$A$40="B2B")*($B$21:$B$40="all")*($C$21:$C$40="M06_primary")*$J$21:$J$40)</f>
        <v/>
      </c>
    </row>
    <row r="17">
      <c r="A17" s="5" t="inlineStr">
        <is>
          <t>Total</t>
        </is>
      </c>
      <c r="B17" s="24">
        <f>SUMPRODUCT(($A$21:$A$40="Total")*($B$21:$B$40="all")*($C$21:$C$40="M06_primary")*$G$21:$G$40)</f>
        <v/>
      </c>
      <c r="C17" s="24">
        <f>SUMPRODUCT(($A$21:$A$40="Total")*($B$21:$B$40="all")*($C$21:$C$40="M06_primary")*$J$21:$J$40)</f>
        <v/>
      </c>
    </row>
    <row r="19">
      <c r="A19" s="2" t="inlineStr">
        <is>
          <t>Data block below: mart_q2_retention_q1_24 (M-06 renewal-event basis: renewed / (renewed + churned), over subscriptions with end_date in 2024-01-01..2024-03-31).</t>
        </is>
      </c>
    </row>
    <row r="20">
      <c r="A20" s="6" t="inlineStr">
        <is>
          <t>segment</t>
        </is>
      </c>
      <c r="B20" s="6" t="inlineStr">
        <is>
          <t>split</t>
        </is>
      </c>
      <c r="C20" s="6" t="inlineStr">
        <is>
          <t>method</t>
        </is>
      </c>
      <c r="D20" s="6" t="inlineStr">
        <is>
          <t>n_renewed</t>
        </is>
      </c>
      <c r="E20" s="6" t="inlineStr">
        <is>
          <t>n_churned</t>
        </is>
      </c>
      <c r="F20" s="6" t="inlineStr">
        <is>
          <t>n_ended</t>
        </is>
      </c>
      <c r="G20" s="6" t="inlineStr">
        <is>
          <t>logo_rate</t>
        </is>
      </c>
      <c r="H20" s="6" t="inlineStr">
        <is>
          <t>dollar_numerator</t>
        </is>
      </c>
      <c r="I20" s="6" t="inlineStr">
        <is>
          <t>dollar_denominator</t>
        </is>
      </c>
      <c r="J20" s="6" t="inlineStr">
        <is>
          <t>dollar_rate</t>
        </is>
      </c>
    </row>
    <row r="21">
      <c r="A21" s="9" t="inlineStr">
        <is>
          <t>B2B</t>
        </is>
      </c>
      <c r="B21" s="9" t="inlineStr">
        <is>
          <t>all</t>
        </is>
      </c>
      <c r="C21" s="9" t="inlineStr">
        <is>
          <t>M06_primary</t>
        </is>
      </c>
      <c r="D21" s="12" t="n">
        <v>301</v>
      </c>
      <c r="E21" s="12" t="n">
        <v>20</v>
      </c>
      <c r="F21" s="12" t="n">
        <v>321</v>
      </c>
      <c r="G21" s="21" t="n">
        <v>0.9377</v>
      </c>
      <c r="H21" s="14" t="n">
        <v>89702.33999999994</v>
      </c>
      <c r="I21" s="14" t="n">
        <v>94196.91999999991</v>
      </c>
      <c r="J21" s="21" t="n">
        <v>0.9523</v>
      </c>
    </row>
    <row r="22">
      <c r="A22" s="9" t="inlineStr">
        <is>
          <t>B2B</t>
        </is>
      </c>
      <c r="B22" s="9" t="inlineStr">
        <is>
          <t>all</t>
        </is>
      </c>
      <c r="C22" s="9" t="inlineStr">
        <is>
          <t>M07_crosscheck</t>
        </is>
      </c>
      <c r="F22" s="12" t="n">
        <v>261</v>
      </c>
      <c r="G22" s="21" t="n">
        <v>0.9349</v>
      </c>
    </row>
    <row r="23">
      <c r="A23" s="9" t="inlineStr">
        <is>
          <t>B2B</t>
        </is>
      </c>
      <c r="B23" s="9" t="inlineStr">
        <is>
          <t>annual</t>
        </is>
      </c>
      <c r="C23" s="9" t="inlineStr">
        <is>
          <t>M06_primary</t>
        </is>
      </c>
      <c r="D23" s="12" t="n">
        <v>28</v>
      </c>
      <c r="E23" s="12" t="n">
        <v>2</v>
      </c>
      <c r="F23" s="12" t="n">
        <v>30</v>
      </c>
      <c r="G23" s="21" t="n">
        <v>0.9333</v>
      </c>
      <c r="H23" s="14" t="n">
        <v>8256.49</v>
      </c>
      <c r="I23" s="14" t="n">
        <v>9223.16</v>
      </c>
      <c r="J23" s="21" t="n">
        <v>0.8952</v>
      </c>
    </row>
    <row r="24">
      <c r="A24" s="9" t="inlineStr">
        <is>
          <t>B2B</t>
        </is>
      </c>
      <c r="B24" s="9" t="inlineStr">
        <is>
          <t>monthly</t>
        </is>
      </c>
      <c r="C24" s="9" t="inlineStr">
        <is>
          <t>M06_primary</t>
        </is>
      </c>
      <c r="D24" s="12" t="n">
        <v>273</v>
      </c>
      <c r="E24" s="12" t="n">
        <v>18</v>
      </c>
      <c r="F24" s="12" t="n">
        <v>291</v>
      </c>
      <c r="G24" s="21" t="n">
        <v>0.9381</v>
      </c>
      <c r="H24" s="14" t="n">
        <v>81445.84999999995</v>
      </c>
      <c r="I24" s="14" t="n">
        <v>84973.75999999994</v>
      </c>
      <c r="J24" s="21" t="n">
        <v>0.9585</v>
      </c>
    </row>
    <row r="25">
      <c r="A25" s="9" t="inlineStr">
        <is>
          <t>B2C</t>
        </is>
      </c>
      <c r="B25" s="9" t="inlineStr">
        <is>
          <t>all</t>
        </is>
      </c>
      <c r="C25" s="9" t="inlineStr">
        <is>
          <t>M06_primary</t>
        </is>
      </c>
      <c r="D25" s="12" t="n">
        <v>1936</v>
      </c>
      <c r="E25" s="12" t="n">
        <v>226</v>
      </c>
      <c r="F25" s="12" t="n">
        <v>2162</v>
      </c>
      <c r="G25" s="21" t="n">
        <v>0.8955</v>
      </c>
      <c r="H25" s="14" t="n">
        <v>93635.5</v>
      </c>
      <c r="I25" s="14" t="n">
        <v>104662.25</v>
      </c>
      <c r="J25" s="21" t="n">
        <v>0.8946</v>
      </c>
    </row>
    <row r="26">
      <c r="A26" s="9" t="inlineStr">
        <is>
          <t>B2C</t>
        </is>
      </c>
      <c r="B26" s="9" t="inlineStr">
        <is>
          <t>all</t>
        </is>
      </c>
      <c r="C26" s="9" t="inlineStr">
        <is>
          <t>M07_crosscheck</t>
        </is>
      </c>
      <c r="F26" s="12" t="n">
        <v>1104</v>
      </c>
      <c r="G26" s="21" t="n">
        <v>0.8260999999999999</v>
      </c>
    </row>
    <row r="27">
      <c r="A27" s="9" t="inlineStr">
        <is>
          <t>B2C</t>
        </is>
      </c>
      <c r="B27" s="9" t="inlineStr">
        <is>
          <t>annual</t>
        </is>
      </c>
      <c r="C27" s="9" t="inlineStr">
        <is>
          <t>M06_primary</t>
        </is>
      </c>
      <c r="D27" s="12" t="n">
        <v>78</v>
      </c>
      <c r="E27" s="12" t="n">
        <v>3</v>
      </c>
      <c r="F27" s="12" t="n">
        <v>81</v>
      </c>
      <c r="G27" s="21" t="n">
        <v>0.963</v>
      </c>
      <c r="H27" s="14" t="n">
        <v>2593.5</v>
      </c>
      <c r="I27" s="14" t="n">
        <v>2693.25</v>
      </c>
      <c r="J27" s="21" t="n">
        <v>0.963</v>
      </c>
    </row>
    <row r="28">
      <c r="A28" s="9" t="inlineStr">
        <is>
          <t>B2C</t>
        </is>
      </c>
      <c r="B28" s="9" t="inlineStr">
        <is>
          <t>monthly</t>
        </is>
      </c>
      <c r="C28" s="9" t="inlineStr">
        <is>
          <t>M06_primary</t>
        </is>
      </c>
      <c r="D28" s="12" t="n">
        <v>1858</v>
      </c>
      <c r="E28" s="12" t="n">
        <v>223</v>
      </c>
      <c r="F28" s="12" t="n">
        <v>2081</v>
      </c>
      <c r="G28" s="21" t="n">
        <v>0.8928</v>
      </c>
      <c r="H28" s="14" t="n">
        <v>91042</v>
      </c>
      <c r="I28" s="14" t="n">
        <v>101969</v>
      </c>
      <c r="J28" s="21" t="n">
        <v>0.8928</v>
      </c>
    </row>
    <row r="29">
      <c r="A29" s="9" t="inlineStr">
        <is>
          <t>Enterprise</t>
        </is>
      </c>
      <c r="B29" s="9" t="inlineStr">
        <is>
          <t>all</t>
        </is>
      </c>
      <c r="C29" s="9" t="inlineStr">
        <is>
          <t>M06_primary</t>
        </is>
      </c>
      <c r="D29" s="12" t="n">
        <v>31</v>
      </c>
      <c r="E29" s="12" t="n">
        <v>2</v>
      </c>
      <c r="F29" s="12" t="n">
        <v>33</v>
      </c>
      <c r="G29" s="21" t="n">
        <v>0.9394</v>
      </c>
      <c r="H29" s="14" t="n">
        <v>30443.53999999999</v>
      </c>
      <c r="I29" s="14" t="n">
        <v>32187.36999999999</v>
      </c>
      <c r="J29" s="21" t="n">
        <v>0.9458</v>
      </c>
    </row>
    <row r="30">
      <c r="A30" s="9" t="inlineStr">
        <is>
          <t>Enterprise</t>
        </is>
      </c>
      <c r="B30" s="9" t="inlineStr">
        <is>
          <t>all</t>
        </is>
      </c>
      <c r="C30" s="9" t="inlineStr">
        <is>
          <t>M07_crosscheck</t>
        </is>
      </c>
      <c r="F30" s="12" t="n">
        <v>66</v>
      </c>
      <c r="G30" s="21" t="n">
        <v>0.9697</v>
      </c>
    </row>
    <row r="31">
      <c r="A31" s="9" t="inlineStr">
        <is>
          <t>Enterprise</t>
        </is>
      </c>
      <c r="B31" s="9" t="inlineStr">
        <is>
          <t>annual</t>
        </is>
      </c>
      <c r="C31" s="9" t="inlineStr">
        <is>
          <t>M06_primary</t>
        </is>
      </c>
      <c r="D31" s="12" t="n">
        <v>6</v>
      </c>
      <c r="E31" s="12" t="n">
        <v>1</v>
      </c>
      <c r="F31" s="12" t="n">
        <v>7</v>
      </c>
      <c r="G31" s="21" t="n">
        <v>0.8571</v>
      </c>
      <c r="H31" s="14" t="n">
        <v>4864.99</v>
      </c>
      <c r="I31" s="14" t="n">
        <v>5775</v>
      </c>
      <c r="J31" s="21" t="n">
        <v>0.8424</v>
      </c>
    </row>
    <row r="32">
      <c r="A32" s="9" t="inlineStr">
        <is>
          <t>Enterprise</t>
        </is>
      </c>
      <c r="B32" s="9" t="inlineStr">
        <is>
          <t>monthly</t>
        </is>
      </c>
      <c r="C32" s="9" t="inlineStr">
        <is>
          <t>M06_primary</t>
        </is>
      </c>
      <c r="D32" s="12" t="n">
        <v>25</v>
      </c>
      <c r="E32" s="12" t="n">
        <v>1</v>
      </c>
      <c r="F32" s="12" t="n">
        <v>26</v>
      </c>
      <c r="G32" s="21" t="n">
        <v>0.9615</v>
      </c>
      <c r="H32" s="14" t="n">
        <v>25578.55</v>
      </c>
      <c r="I32" s="14" t="n">
        <v>26412.37</v>
      </c>
      <c r="J32" s="21" t="n">
        <v>0.9684</v>
      </c>
    </row>
    <row r="33">
      <c r="A33" s="9" t="inlineStr">
        <is>
          <t>SMB</t>
        </is>
      </c>
      <c r="B33" s="9" t="inlineStr">
        <is>
          <t>all</t>
        </is>
      </c>
      <c r="C33" s="9" t="inlineStr">
        <is>
          <t>M06_primary</t>
        </is>
      </c>
      <c r="D33" s="12" t="n">
        <v>270</v>
      </c>
      <c r="E33" s="12" t="n">
        <v>18</v>
      </c>
      <c r="F33" s="12" t="n">
        <v>288</v>
      </c>
      <c r="G33" s="21" t="n">
        <v>0.9375</v>
      </c>
      <c r="H33" s="14" t="n">
        <v>59258.79999999999</v>
      </c>
      <c r="I33" s="14" t="n">
        <v>62009.54999999996</v>
      </c>
      <c r="J33" s="21" t="n">
        <v>0.9556</v>
      </c>
    </row>
    <row r="34">
      <c r="A34" s="9" t="inlineStr">
        <is>
          <t>SMB</t>
        </is>
      </c>
      <c r="B34" s="9" t="inlineStr">
        <is>
          <t>all</t>
        </is>
      </c>
      <c r="C34" s="9" t="inlineStr">
        <is>
          <t>M07_crosscheck</t>
        </is>
      </c>
      <c r="F34" s="12" t="n">
        <v>195</v>
      </c>
      <c r="G34" s="21" t="n">
        <v>0.9231</v>
      </c>
    </row>
    <row r="35">
      <c r="A35" s="9" t="inlineStr">
        <is>
          <t>SMB</t>
        </is>
      </c>
      <c r="B35" s="9" t="inlineStr">
        <is>
          <t>annual</t>
        </is>
      </c>
      <c r="C35" s="9" t="inlineStr">
        <is>
          <t>M06_primary</t>
        </is>
      </c>
      <c r="D35" s="12" t="n">
        <v>22</v>
      </c>
      <c r="E35" s="12" t="n">
        <v>1</v>
      </c>
      <c r="F35" s="12" t="n">
        <v>23</v>
      </c>
      <c r="G35" s="21" t="n">
        <v>0.9565</v>
      </c>
      <c r="H35" s="14" t="n">
        <v>3391.5</v>
      </c>
      <c r="I35" s="14" t="n">
        <v>3448.16</v>
      </c>
      <c r="J35" s="21" t="n">
        <v>0.9836</v>
      </c>
    </row>
    <row r="36">
      <c r="A36" s="9" t="inlineStr">
        <is>
          <t>SMB</t>
        </is>
      </c>
      <c r="B36" s="9" t="inlineStr">
        <is>
          <t>monthly</t>
        </is>
      </c>
      <c r="C36" s="9" t="inlineStr">
        <is>
          <t>M06_primary</t>
        </is>
      </c>
      <c r="D36" s="12" t="n">
        <v>248</v>
      </c>
      <c r="E36" s="12" t="n">
        <v>17</v>
      </c>
      <c r="F36" s="12" t="n">
        <v>265</v>
      </c>
      <c r="G36" s="21" t="n">
        <v>0.9358</v>
      </c>
      <c r="H36" s="14" t="n">
        <v>55867.3</v>
      </c>
      <c r="I36" s="14" t="n">
        <v>58561.38999999998</v>
      </c>
      <c r="J36" s="21" t="n">
        <v>0.954</v>
      </c>
    </row>
    <row r="37">
      <c r="A37" s="9" t="inlineStr">
        <is>
          <t>Total</t>
        </is>
      </c>
      <c r="B37" s="9" t="inlineStr">
        <is>
          <t>all</t>
        </is>
      </c>
      <c r="C37" s="9" t="inlineStr">
        <is>
          <t>M06_primary</t>
        </is>
      </c>
      <c r="D37" s="12" t="n">
        <v>2237</v>
      </c>
      <c r="E37" s="12" t="n">
        <v>246</v>
      </c>
      <c r="F37" s="12" t="n">
        <v>2483</v>
      </c>
      <c r="G37" s="21" t="n">
        <v>0.9009</v>
      </c>
      <c r="H37" s="14" t="n">
        <v>183337.8400000001</v>
      </c>
      <c r="I37" s="14" t="n">
        <v>198859.1699999999</v>
      </c>
      <c r="J37" s="21" t="n">
        <v>0.9219000000000001</v>
      </c>
    </row>
    <row r="38">
      <c r="A38" s="9" t="inlineStr">
        <is>
          <t>Total</t>
        </is>
      </c>
      <c r="B38" s="9" t="inlineStr">
        <is>
          <t>all</t>
        </is>
      </c>
      <c r="C38" s="9" t="inlineStr">
        <is>
          <t>M07_crosscheck</t>
        </is>
      </c>
      <c r="F38" s="12" t="n">
        <v>1365</v>
      </c>
      <c r="G38" s="21" t="n">
        <v>0.8469</v>
      </c>
    </row>
    <row r="39">
      <c r="A39" s="9" t="inlineStr">
        <is>
          <t>Total</t>
        </is>
      </c>
      <c r="B39" s="9" t="inlineStr">
        <is>
          <t>annual</t>
        </is>
      </c>
      <c r="C39" s="9" t="inlineStr">
        <is>
          <t>M06_primary</t>
        </is>
      </c>
      <c r="D39" s="12" t="n">
        <v>106</v>
      </c>
      <c r="E39" s="12" t="n">
        <v>5</v>
      </c>
      <c r="F39" s="12" t="n">
        <v>111</v>
      </c>
      <c r="G39" s="21" t="n">
        <v>0.955</v>
      </c>
      <c r="H39" s="14" t="n">
        <v>10849.99</v>
      </c>
      <c r="I39" s="14" t="n">
        <v>11916.41</v>
      </c>
      <c r="J39" s="21" t="n">
        <v>0.9105</v>
      </c>
    </row>
    <row r="40">
      <c r="A40" s="9" t="inlineStr">
        <is>
          <t>Total</t>
        </is>
      </c>
      <c r="B40" s="9" t="inlineStr">
        <is>
          <t>monthly</t>
        </is>
      </c>
      <c r="C40" s="9" t="inlineStr">
        <is>
          <t>M06_primary</t>
        </is>
      </c>
      <c r="D40" s="12" t="n">
        <v>2131</v>
      </c>
      <c r="E40" s="12" t="n">
        <v>241</v>
      </c>
      <c r="F40" s="12" t="n">
        <v>2372</v>
      </c>
      <c r="G40" s="21" t="n">
        <v>0.8984</v>
      </c>
      <c r="H40" s="14" t="n">
        <v>172487.8500000001</v>
      </c>
      <c r="I40" s="14" t="n">
        <v>186942.76</v>
      </c>
      <c r="J40" s="21" t="n">
        <v>0.9227</v>
      </c>
    </row>
    <row r="42">
      <c r="A42" s="3" t="inlineStr">
        <is>
          <t>Q3 -- Active subscriptions, Apr-24, by segment x plan (M-02; formula from Assumptions starting stock)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6" t="inlineStr">
        <is>
          <t>Segment</t>
        </is>
      </c>
      <c r="B43" s="6" t="inlineStr">
        <is>
          <t>Monthly</t>
        </is>
      </c>
      <c r="C43" s="6" t="inlineStr">
        <is>
          <t>Annual</t>
        </is>
      </c>
      <c r="D43" s="6" t="inlineStr">
        <is>
          <t>Total</t>
        </is>
      </c>
      <c r="E43" s="6" t="inlineStr"/>
      <c r="F43" s="6" t="inlineStr"/>
      <c r="G43" s="6" t="inlineStr"/>
      <c r="H43" s="6" t="inlineStr"/>
      <c r="I43" s="6" t="inlineStr"/>
      <c r="J43" s="6" t="inlineStr"/>
    </row>
    <row r="44">
      <c r="A44" s="5" t="inlineStr">
        <is>
          <t>B2C</t>
        </is>
      </c>
      <c r="B44" s="16">
        <f>SUMIFS(Assumptions!$C$29:$C$34,Assumptions!$A$29:$A$34,"B2C",Assumptions!$B$29:$B$34,"monthly")</f>
        <v/>
      </c>
      <c r="C44" s="16">
        <f>SUMIFS(Assumptions!$C$29:$C$34,Assumptions!$A$29:$A$34,"B2C",Assumptions!$B$29:$B$34,"annual")</f>
        <v/>
      </c>
      <c r="D44" s="25">
        <f>B44+C44</f>
        <v/>
      </c>
    </row>
    <row r="45">
      <c r="A45" s="5" t="inlineStr">
        <is>
          <t>SMB</t>
        </is>
      </c>
      <c r="B45" s="16">
        <f>SUMIFS(Assumptions!$C$29:$C$34,Assumptions!$A$29:$A$34,"SMB",Assumptions!$B$29:$B$34,"monthly")</f>
        <v/>
      </c>
      <c r="C45" s="16">
        <f>SUMIFS(Assumptions!$C$29:$C$34,Assumptions!$A$29:$A$34,"SMB",Assumptions!$B$29:$B$34,"annual")</f>
        <v/>
      </c>
      <c r="D45" s="25">
        <f>B45+C45</f>
        <v/>
      </c>
    </row>
    <row r="46">
      <c r="A46" s="5" t="inlineStr">
        <is>
          <t>Enterprise</t>
        </is>
      </c>
      <c r="B46" s="16">
        <f>SUMIFS(Assumptions!$C$29:$C$34,Assumptions!$A$29:$A$34,"Enterprise",Assumptions!$B$29:$B$34,"monthly")</f>
        <v/>
      </c>
      <c r="C46" s="16">
        <f>SUMIFS(Assumptions!$C$29:$C$34,Assumptions!$A$29:$A$34,"Enterprise",Assumptions!$B$29:$B$34,"annual")</f>
        <v/>
      </c>
      <c r="D46" s="25">
        <f>B46+C46</f>
        <v/>
      </c>
    </row>
    <row r="47">
      <c r="A47" s="7" t="inlineStr">
        <is>
          <t>Total</t>
        </is>
      </c>
      <c r="B47" s="26">
        <f>SUM(B44:B46)</f>
        <v/>
      </c>
      <c r="C47" s="26">
        <f>SUM(C44:C46)</f>
        <v/>
      </c>
      <c r="D47" s="26">
        <f>SUM(D44:D46)</f>
        <v/>
      </c>
    </row>
    <row r="49">
      <c r="A49" s="3" t="inlineStr">
        <is>
          <t>Q4 -- NDR T12M, company &amp; segment (M-08/M-09; linked from mart_q4_ndr_t12m)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6" t="inlineStr">
        <is>
          <t>Segment</t>
        </is>
      </c>
      <c r="B50" s="6" t="inlineStr">
        <is>
          <t>NDR (T12M)</t>
        </is>
      </c>
      <c r="C50" s="6" t="inlineStr">
        <is>
          <t>GRR (T12M)</t>
        </is>
      </c>
      <c r="D50" s="6" t="inlineStr"/>
      <c r="E50" s="6" t="inlineStr"/>
      <c r="F50" s="6" t="inlineStr"/>
      <c r="G50" s="6" t="inlineStr"/>
      <c r="H50" s="6" t="inlineStr"/>
      <c r="I50" s="6" t="inlineStr"/>
      <c r="J50" s="6" t="inlineStr"/>
    </row>
    <row r="51">
      <c r="A51" s="5" t="inlineStr">
        <is>
          <t>B2C</t>
        </is>
      </c>
      <c r="B51" s="27">
        <f>SUMPRODUCT(($B$59:$B$68="B2C")*($A$59:$A$68="M08_M09_M10")*$I$59:$I$68)</f>
        <v/>
      </c>
      <c r="C51" s="27">
        <f>SUMPRODUCT(($B$59:$B$68="B2C")*($A$59:$A$68="M08_M09_M10")*$J$59:$J$68)</f>
        <v/>
      </c>
    </row>
    <row r="52">
      <c r="A52" s="5" t="inlineStr">
        <is>
          <t>SMB</t>
        </is>
      </c>
      <c r="B52" s="27">
        <f>SUMPRODUCT(($B$59:$B$68="SMB")*($A$59:$A$68="M08_M09_M10")*$I$59:$I$68)</f>
        <v/>
      </c>
      <c r="C52" s="27">
        <f>SUMPRODUCT(($B$59:$B$68="SMB")*($A$59:$A$68="M08_M09_M10")*$J$59:$J$68)</f>
        <v/>
      </c>
    </row>
    <row r="53">
      <c r="A53" s="5" t="inlineStr">
        <is>
          <t>Enterprise</t>
        </is>
      </c>
      <c r="B53" s="27">
        <f>SUMPRODUCT(($B$59:$B$68="Enterprise")*($A$59:$A$68="M08_M09_M10")*$I$59:$I$68)</f>
        <v/>
      </c>
      <c r="C53" s="27">
        <f>SUMPRODUCT(($B$59:$B$68="Enterprise")*($A$59:$A$68="M08_M09_M10")*$J$59:$J$68)</f>
        <v/>
      </c>
    </row>
    <row r="54">
      <c r="A54" s="5" t="inlineStr">
        <is>
          <t>B2B</t>
        </is>
      </c>
      <c r="B54" s="27">
        <f>SUMPRODUCT(($B$59:$B$68="B2B")*($A$59:$A$68="M08_M09_M10")*$I$59:$I$68)</f>
        <v/>
      </c>
      <c r="C54" s="27">
        <f>SUMPRODUCT(($B$59:$B$68="B2B")*($A$59:$A$68="M08_M09_M10")*$J$59:$J$68)</f>
        <v/>
      </c>
    </row>
    <row r="55">
      <c r="A55" s="5" t="inlineStr">
        <is>
          <t>Total</t>
        </is>
      </c>
      <c r="B55" s="27">
        <f>SUMPRODUCT(($B$59:$B$68="Total")*($A$59:$A$68="M08_M09_M10")*$I$59:$I$68)</f>
        <v/>
      </c>
      <c r="C55" s="27">
        <f>SUMPRODUCT(($B$59:$B$68="Total")*($A$59:$A$68="M08_M09_M10")*$J$59:$J$68)</f>
        <v/>
      </c>
    </row>
    <row r="57">
      <c r="A57" s="2" t="inlineStr">
        <is>
          <t>Data block below: mart_q4_ndr_t12m (M-08 snapshot method: customers active on 2023-04-30; NDR = their Apr-24 MRR / their Apr-23 MRR; GRR caps expansion at 100%).</t>
        </is>
      </c>
    </row>
    <row r="58">
      <c r="A58" s="6" t="inlineStr">
        <is>
          <t>method</t>
        </is>
      </c>
      <c r="B58" s="6" t="inlineStr">
        <is>
          <t>segment</t>
        </is>
      </c>
      <c r="C58" s="6" t="inlineStr">
        <is>
          <t>base_customers</t>
        </is>
      </c>
      <c r="D58" s="6" t="inlineStr">
        <is>
          <t>start_mrr</t>
        </is>
      </c>
      <c r="E58" s="6" t="inlineStr">
        <is>
          <t>expansion_mrr</t>
        </is>
      </c>
      <c r="F58" s="6" t="inlineStr">
        <is>
          <t>contraction_mrr</t>
        </is>
      </c>
      <c r="G58" s="6" t="inlineStr">
        <is>
          <t>churn_mrr</t>
        </is>
      </c>
      <c r="H58" s="6" t="inlineStr">
        <is>
          <t>end_mrr</t>
        </is>
      </c>
      <c r="I58" s="6" t="inlineStr">
        <is>
          <t>ndr</t>
        </is>
      </c>
      <c r="J58" s="6" t="inlineStr">
        <is>
          <t>grr</t>
        </is>
      </c>
    </row>
    <row r="59">
      <c r="A59" s="9" t="inlineStr">
        <is>
          <t>M08_M09_M10</t>
        </is>
      </c>
      <c r="B59" s="9" t="inlineStr">
        <is>
          <t>B2B</t>
        </is>
      </c>
      <c r="C59" s="12" t="n">
        <v>64</v>
      </c>
      <c r="D59" s="14" t="n">
        <v>19301.54</v>
      </c>
      <c r="E59" s="14" t="n">
        <v>1329.43</v>
      </c>
      <c r="F59" s="14" t="n">
        <v>168.42</v>
      </c>
      <c r="G59" s="14" t="n">
        <v>4976.57</v>
      </c>
      <c r="H59" s="14" t="n">
        <v>15485.98</v>
      </c>
      <c r="I59" s="21" t="n">
        <v>0.8023</v>
      </c>
      <c r="J59" s="21" t="n">
        <v>0.7334000000000001</v>
      </c>
    </row>
    <row r="60">
      <c r="A60" s="9" t="inlineStr">
        <is>
          <t>renewal_crosscheck</t>
        </is>
      </c>
      <c r="B60" s="9" t="inlineStr">
        <is>
          <t>B2B</t>
        </is>
      </c>
      <c r="C60" s="12" t="n">
        <v>832</v>
      </c>
      <c r="E60" s="14" t="n">
        <v>4872.899999999998</v>
      </c>
      <c r="F60" s="14" t="n">
        <v>1263.6</v>
      </c>
    </row>
    <row r="61">
      <c r="A61" s="9" t="inlineStr">
        <is>
          <t>M08_M09_M10</t>
        </is>
      </c>
      <c r="B61" s="9" t="inlineStr">
        <is>
          <t>B2C</t>
        </is>
      </c>
      <c r="C61" s="12" t="n">
        <v>353</v>
      </c>
      <c r="D61" s="14" t="n">
        <v>15470</v>
      </c>
      <c r="E61" s="14" t="n">
        <v>0</v>
      </c>
      <c r="F61" s="14" t="n">
        <v>0</v>
      </c>
      <c r="G61" s="14" t="n">
        <v>8806</v>
      </c>
      <c r="H61" s="14" t="n">
        <v>6664</v>
      </c>
      <c r="I61" s="21" t="n">
        <v>0.4308</v>
      </c>
      <c r="J61" s="21" t="n">
        <v>0.4308</v>
      </c>
    </row>
    <row r="62">
      <c r="A62" s="9" t="inlineStr">
        <is>
          <t>renewal_crosscheck</t>
        </is>
      </c>
      <c r="B62" s="9" t="inlineStr">
        <is>
          <t>B2C</t>
        </is>
      </c>
      <c r="C62" s="12" t="n">
        <v>5803</v>
      </c>
      <c r="E62" s="14" t="n">
        <v>0</v>
      </c>
      <c r="F62" s="14" t="n">
        <v>0</v>
      </c>
    </row>
    <row r="63">
      <c r="A63" s="9" t="inlineStr">
        <is>
          <t>M08_M09_M10</t>
        </is>
      </c>
      <c r="B63" s="9" t="inlineStr">
        <is>
          <t>Enterprise</t>
        </is>
      </c>
      <c r="C63" s="12" t="n">
        <v>12</v>
      </c>
      <c r="D63" s="14" t="n">
        <v>10230</v>
      </c>
      <c r="E63" s="14" t="n">
        <v>42.63</v>
      </c>
      <c r="F63" s="14" t="n">
        <v>127.64</v>
      </c>
      <c r="G63" s="14" t="n">
        <v>2805</v>
      </c>
      <c r="H63" s="14" t="n">
        <v>7339.99</v>
      </c>
      <c r="I63" s="21" t="n">
        <v>0.7175</v>
      </c>
      <c r="J63" s="21" t="n">
        <v>0.7133</v>
      </c>
    </row>
    <row r="64">
      <c r="A64" s="9" t="inlineStr">
        <is>
          <t>renewal_crosscheck</t>
        </is>
      </c>
      <c r="B64" s="9" t="inlineStr">
        <is>
          <t>Enterprise</t>
        </is>
      </c>
      <c r="C64" s="12" t="n">
        <v>75</v>
      </c>
      <c r="E64" s="14" t="n">
        <v>956.1899999999999</v>
      </c>
      <c r="F64" s="14" t="n">
        <v>470.08</v>
      </c>
    </row>
    <row r="65">
      <c r="A65" s="9" t="inlineStr">
        <is>
          <t>M08_M09_M10</t>
        </is>
      </c>
      <c r="B65" s="9" t="inlineStr">
        <is>
          <t>SMB</t>
        </is>
      </c>
      <c r="C65" s="12" t="n">
        <v>52</v>
      </c>
      <c r="D65" s="14" t="n">
        <v>9071.540000000001</v>
      </c>
      <c r="E65" s="14" t="n">
        <v>1286.8</v>
      </c>
      <c r="F65" s="14" t="n">
        <v>40.78</v>
      </c>
      <c r="G65" s="14" t="n">
        <v>2171.57</v>
      </c>
      <c r="H65" s="14" t="n">
        <v>8145.990000000002</v>
      </c>
      <c r="I65" s="21" t="n">
        <v>0.898</v>
      </c>
      <c r="J65" s="21" t="n">
        <v>0.7561</v>
      </c>
    </row>
    <row r="66">
      <c r="A66" s="9" t="inlineStr">
        <is>
          <t>renewal_crosscheck</t>
        </is>
      </c>
      <c r="B66" s="9" t="inlineStr">
        <is>
          <t>SMB</t>
        </is>
      </c>
      <c r="C66" s="12" t="n">
        <v>757</v>
      </c>
      <c r="E66" s="14" t="n">
        <v>3916.709999999999</v>
      </c>
      <c r="F66" s="14" t="n">
        <v>793.5199999999999</v>
      </c>
    </row>
    <row r="67">
      <c r="A67" s="9" t="inlineStr">
        <is>
          <t>M08_M09_M10</t>
        </is>
      </c>
      <c r="B67" s="9" t="inlineStr">
        <is>
          <t>Total</t>
        </is>
      </c>
      <c r="C67" s="12" t="n">
        <v>417</v>
      </c>
      <c r="D67" s="14" t="n">
        <v>34771.53999999996</v>
      </c>
      <c r="E67" s="14" t="n">
        <v>1329.43</v>
      </c>
      <c r="F67" s="14" t="n">
        <v>168.42</v>
      </c>
      <c r="G67" s="14" t="n">
        <v>13782.57</v>
      </c>
      <c r="H67" s="14" t="n">
        <v>22149.97999999999</v>
      </c>
      <c r="I67" s="21" t="n">
        <v>0.637</v>
      </c>
      <c r="J67" s="21" t="n">
        <v>0.5988</v>
      </c>
    </row>
    <row r="68">
      <c r="A68" s="9" t="inlineStr">
        <is>
          <t>renewal_crosscheck</t>
        </is>
      </c>
      <c r="B68" s="9" t="inlineStr">
        <is>
          <t>Total</t>
        </is>
      </c>
      <c r="C68" s="12" t="n">
        <v>6635</v>
      </c>
      <c r="E68" s="14" t="n">
        <v>4872.9</v>
      </c>
      <c r="F68" s="14" t="n">
        <v>1263.6</v>
      </c>
    </row>
  </sheetData>
  <mergeCells count="4">
    <mergeCell ref="A1:J1"/>
    <mergeCell ref="A57:J57"/>
    <mergeCell ref="A19:J19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UnitEconomics</t>
        </is>
      </c>
    </row>
    <row r="2">
      <c r="A2" s="2" t="inlineStr">
        <is>
          <t>Source: Data_Costs, Data_MRR, Data_Survival + Assumptions (D-05/D-06/D-07, M-12..M-15, A-15..A-18, A-23). Fully loaded CAC, gross margin, ARPA, the 60-month survival-based lifetime curve, LTV, LTV:CAC, CAC payback and the retention-adjusted payback, by segment -- all computed with formulas from the Data_* tabs, cross-checked on the Checks tab against mart_a2_12_unit_economics_summary within 1%.</t>
        </is>
      </c>
    </row>
    <row r="4">
      <c r="A4" s="3" t="inlineStr">
        <is>
          <t>G&amp;A allocation build (D-05): company-level marketing, COGS (non-G&amp;A support costs) and G&amp;A pool, T6M and T16M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6" t="inlineStr">
        <is>
          <t>Metric</t>
        </is>
      </c>
      <c r="B5" s="6" t="inlineStr">
        <is>
          <t>T6M (Nov-23..Apr-24)</t>
        </is>
      </c>
      <c r="C5" s="6" t="inlineStr">
        <is>
          <t>T16M (Jan-23..Apr-24)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  <row r="6">
      <c r="A6" s="5" t="inlineStr">
        <is>
          <t>Total marketing spend (all segments)</t>
        </is>
      </c>
      <c r="B6" s="15">
        <f>SUMIFS(Data_Costs!$D$6:$D$149,Data_Costs!$A$6:$A$149,"&gt;="&amp;Assumptions!$B$12,Data_Costs!$A$6:$A$149,"&lt;="&amp;Assumptions!$B$13)</f>
        <v/>
      </c>
      <c r="C6" s="15">
        <f>SUMIFS(Data_Costs!$D$6:$D$149,Data_Costs!$A$6:$A$149,"&gt;="&amp;Assumptions!$B$15,Data_Costs!$A$6:$A$149,"&lt;="&amp;Assumptions!$B$13)</f>
        <v/>
      </c>
    </row>
    <row r="7">
      <c r="A7" s="5" t="inlineStr">
        <is>
          <t>Total support costs, non-G&amp;A (= company COGS)</t>
        </is>
      </c>
      <c r="B7" s="15">
        <f>SUMIFS(Data_Costs!$C$153:$C$216,Data_Costs!$B$153:$B$216,"CS Salaries",Data_Costs!$A$153:$A$216,"&gt;="&amp;Assumptions!$B$12,Data_Costs!$A$153:$A$216,"&lt;="&amp;Assumptions!$B$13)+SUMIFS(Data_Costs!$C$153:$C$216,Data_Costs!$B$153:$B$216,"Infrastructure",Data_Costs!$A$153:$A$216,"&gt;="&amp;Assumptions!$B$12,Data_Costs!$A$153:$A$216,"&lt;="&amp;Assumptions!$B$13)+SUMIFS(Data_Costs!$C$153:$C$216,Data_Costs!$B$153:$B$216,"Content Production",Data_Costs!$A$153:$A$216,"&gt;="&amp;Assumptions!$B$12,Data_Costs!$A$153:$A$216,"&lt;="&amp;Assumptions!$B$13)</f>
        <v/>
      </c>
      <c r="C7" s="15">
        <f>SUMIFS(Data_Costs!$C$153:$C$216,Data_Costs!$B$153:$B$216,"CS Salaries",Data_Costs!$A$153:$A$216,"&gt;="&amp;Assumptions!$B$15,Data_Costs!$A$153:$A$216,"&lt;="&amp;Assumptions!$B$13)+SUMIFS(Data_Costs!$C$153:$C$216,Data_Costs!$B$153:$B$216,"Infrastructure",Data_Costs!$A$153:$A$216,"&gt;="&amp;Assumptions!$B$15,Data_Costs!$A$153:$A$216,"&lt;="&amp;Assumptions!$B$13)+SUMIFS(Data_Costs!$C$153:$C$216,Data_Costs!$B$153:$B$216,"Content Production",Data_Costs!$A$153:$A$216,"&gt;="&amp;Assumptions!$B$15,Data_Costs!$A$153:$A$216,"&lt;="&amp;Assumptions!$B$13)</f>
        <v/>
      </c>
    </row>
    <row r="8">
      <c r="A8" s="5" t="inlineStr">
        <is>
          <t>Total G&amp;A</t>
        </is>
      </c>
      <c r="B8" s="15">
        <f>SUMIFS(Data_Costs!$C$153:$C$216,Data_Costs!$B$153:$B$216,"G&amp;A",Data_Costs!$A$153:$A$216,"&gt;="&amp;Assumptions!$B$12,Data_Costs!$A$153:$A$216,"&lt;="&amp;Assumptions!$B$13)</f>
        <v/>
      </c>
      <c r="C8" s="15">
        <f>SUMIFS(Data_Costs!$C$153:$C$216,Data_Costs!$B$153:$B$216,"G&amp;A",Data_Costs!$A$153:$A$216,"&gt;="&amp;Assumptions!$B$15,Data_Costs!$A$153:$A$216,"&lt;="&amp;Assumptions!$B$13)</f>
        <v/>
      </c>
    </row>
    <row r="9">
      <c r="A9" s="5" t="inlineStr">
        <is>
          <t>Acquisition share of G&amp;A = marketing / (marketing + COGS)</t>
        </is>
      </c>
      <c r="B9" s="28">
        <f>B6/(B6+B7)</f>
        <v/>
      </c>
      <c r="C9" s="28">
        <f>C6/(C6+C7)</f>
        <v/>
      </c>
    </row>
    <row r="10">
      <c r="A10" s="5" t="inlineStr">
        <is>
          <t>Allocated G&amp;A pool = acquisition share x total G&amp;A</t>
        </is>
      </c>
      <c r="B10" s="29">
        <f>B9*B8</f>
        <v/>
      </c>
      <c r="C10" s="29">
        <f>C9*C8</f>
        <v/>
      </c>
    </row>
    <row r="12">
      <c r="A12" s="3" t="inlineStr">
        <is>
          <t>Monthly ARPA (by segment) &amp; company GM% helper (T6M window, Nov-23..Apr-24). M-12: revenue=MRR, COGS=CS Salaries+Infrastructure+Content, all allocated by MRR share -&gt; GM% is uniform across segments by construction (test_a2_gm_base_uniform)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6" t="inlineStr">
        <is>
          <t>Month-end</t>
        </is>
      </c>
      <c r="B13" s="6" t="inlineStr">
        <is>
          <t>Revenue (Total MRR)</t>
        </is>
      </c>
      <c r="C13" s="6" t="inlineStr">
        <is>
          <t>COGS (non-G&amp;A)</t>
        </is>
      </c>
      <c r="D13" s="6" t="inlineStr">
        <is>
          <t>GM% (month)</t>
        </is>
      </c>
      <c r="E13" s="6" t="inlineStr">
        <is>
          <t>B2C ARPA</t>
        </is>
      </c>
      <c r="F13" s="6" t="inlineStr">
        <is>
          <t>SMB ARPA</t>
        </is>
      </c>
      <c r="G13" s="6" t="inlineStr">
        <is>
          <t>Enterprise ARPA</t>
        </is>
      </c>
      <c r="H13" s="6" t="inlineStr"/>
      <c r="I13" s="6" t="inlineStr">
        <is>
          <t>Month-start (helper, for Data_Costs lookups)</t>
        </is>
      </c>
      <c r="J13" s="6" t="inlineStr"/>
      <c r="K13" s="6" t="inlineStr"/>
      <c r="L13" s="6" t="inlineStr"/>
      <c r="M13" s="6" t="inlineStr"/>
      <c r="N13" s="6" t="inlineStr"/>
      <c r="O13" s="6" t="inlineStr"/>
    </row>
    <row r="14">
      <c r="A14" s="10" t="n">
        <v>45260</v>
      </c>
      <c r="B14" s="15">
        <f>SUMIFS(Data_MRR!$H$5:$H$84,Data_MRR!$B$5:$B$84,"Total",Data_MRR!$A$5:$A$84,$A14)</f>
        <v/>
      </c>
      <c r="C14" s="15">
        <f>SUMIFS(Data_Costs!$C$153:$C$216,Data_Costs!$B$153:$B$216,"CS Salaries",Data_Costs!$A$153:$A$216,$I14)+SUMIFS(Data_Costs!$C$153:$C$216,Data_Costs!$B$153:$B$216,"Infrastructure",Data_Costs!$A$153:$A$216,$I14)+SUMIFS(Data_Costs!$C$153:$C$216,Data_Costs!$B$153:$B$216,"Content Production",Data_Costs!$A$153:$A$216,$I14)</f>
        <v/>
      </c>
      <c r="D14" s="30">
        <f>1-C14/B14</f>
        <v/>
      </c>
      <c r="E14" s="15">
        <f>SUMIFS(Data_MRR!$H$5:$H$84,Data_MRR!$B$5:$B$84,"B2C",Data_MRR!$A$5:$A$84,$A14)/SUMIFS(Data_MRR!$I$5:$I$84,Data_MRR!$B$5:$B$84,"B2C",Data_MRR!$A$5:$A$84,$A14)</f>
        <v/>
      </c>
      <c r="F14" s="15">
        <f>SUMIFS(Data_MRR!$H$5:$H$84,Data_MRR!$B$5:$B$84,"SMB",Data_MRR!$A$5:$A$84,$A14)/SUMIFS(Data_MRR!$I$5:$I$84,Data_MRR!$B$5:$B$84,"SMB",Data_MRR!$A$5:$A$84,$A14)</f>
        <v/>
      </c>
      <c r="G14" s="15">
        <f>SUMIFS(Data_MRR!$H$5:$H$84,Data_MRR!$B$5:$B$84,"Enterprise",Data_MRR!$A$5:$A$84,$A14)/SUMIFS(Data_MRR!$I$5:$I$84,Data_MRR!$B$5:$B$84,"Enterprise",Data_MRR!$A$5:$A$84,$A14)</f>
        <v/>
      </c>
      <c r="H14" s="5" t="n"/>
      <c r="I14" s="10" t="n">
        <v>45231</v>
      </c>
    </row>
    <row r="15">
      <c r="A15" s="10" t="n">
        <v>45291</v>
      </c>
      <c r="B15" s="15">
        <f>SUMIFS(Data_MRR!$H$5:$H$84,Data_MRR!$B$5:$B$84,"Total",Data_MRR!$A$5:$A$84,$A15)</f>
        <v/>
      </c>
      <c r="C15" s="15">
        <f>SUMIFS(Data_Costs!$C$153:$C$216,Data_Costs!$B$153:$B$216,"CS Salaries",Data_Costs!$A$153:$A$216,$I15)+SUMIFS(Data_Costs!$C$153:$C$216,Data_Costs!$B$153:$B$216,"Infrastructure",Data_Costs!$A$153:$A$216,$I15)+SUMIFS(Data_Costs!$C$153:$C$216,Data_Costs!$B$153:$B$216,"Content Production",Data_Costs!$A$153:$A$216,$I15)</f>
        <v/>
      </c>
      <c r="D15" s="30">
        <f>1-C15/B15</f>
        <v/>
      </c>
      <c r="E15" s="15">
        <f>SUMIFS(Data_MRR!$H$5:$H$84,Data_MRR!$B$5:$B$84,"B2C",Data_MRR!$A$5:$A$84,$A15)/SUMIFS(Data_MRR!$I$5:$I$84,Data_MRR!$B$5:$B$84,"B2C",Data_MRR!$A$5:$A$84,$A15)</f>
        <v/>
      </c>
      <c r="F15" s="15">
        <f>SUMIFS(Data_MRR!$H$5:$H$84,Data_MRR!$B$5:$B$84,"SMB",Data_MRR!$A$5:$A$84,$A15)/SUMIFS(Data_MRR!$I$5:$I$84,Data_MRR!$B$5:$B$84,"SMB",Data_MRR!$A$5:$A$84,$A15)</f>
        <v/>
      </c>
      <c r="G15" s="15">
        <f>SUMIFS(Data_MRR!$H$5:$H$84,Data_MRR!$B$5:$B$84,"Enterprise",Data_MRR!$A$5:$A$84,$A15)/SUMIFS(Data_MRR!$I$5:$I$84,Data_MRR!$B$5:$B$84,"Enterprise",Data_MRR!$A$5:$A$84,$A15)</f>
        <v/>
      </c>
      <c r="H15" s="5" t="n"/>
      <c r="I15" s="10" t="n">
        <v>45261</v>
      </c>
    </row>
    <row r="16">
      <c r="A16" s="10" t="n">
        <v>45322</v>
      </c>
      <c r="B16" s="15">
        <f>SUMIFS(Data_MRR!$H$5:$H$84,Data_MRR!$B$5:$B$84,"Total",Data_MRR!$A$5:$A$84,$A16)</f>
        <v/>
      </c>
      <c r="C16" s="15">
        <f>SUMIFS(Data_Costs!$C$153:$C$216,Data_Costs!$B$153:$B$216,"CS Salaries",Data_Costs!$A$153:$A$216,$I16)+SUMIFS(Data_Costs!$C$153:$C$216,Data_Costs!$B$153:$B$216,"Infrastructure",Data_Costs!$A$153:$A$216,$I16)+SUMIFS(Data_Costs!$C$153:$C$216,Data_Costs!$B$153:$B$216,"Content Production",Data_Costs!$A$153:$A$216,$I16)</f>
        <v/>
      </c>
      <c r="D16" s="30">
        <f>1-C16/B16</f>
        <v/>
      </c>
      <c r="E16" s="15">
        <f>SUMIFS(Data_MRR!$H$5:$H$84,Data_MRR!$B$5:$B$84,"B2C",Data_MRR!$A$5:$A$84,$A16)/SUMIFS(Data_MRR!$I$5:$I$84,Data_MRR!$B$5:$B$84,"B2C",Data_MRR!$A$5:$A$84,$A16)</f>
        <v/>
      </c>
      <c r="F16" s="15">
        <f>SUMIFS(Data_MRR!$H$5:$H$84,Data_MRR!$B$5:$B$84,"SMB",Data_MRR!$A$5:$A$84,$A16)/SUMIFS(Data_MRR!$I$5:$I$84,Data_MRR!$B$5:$B$84,"SMB",Data_MRR!$A$5:$A$84,$A16)</f>
        <v/>
      </c>
      <c r="G16" s="15">
        <f>SUMIFS(Data_MRR!$H$5:$H$84,Data_MRR!$B$5:$B$84,"Enterprise",Data_MRR!$A$5:$A$84,$A16)/SUMIFS(Data_MRR!$I$5:$I$84,Data_MRR!$B$5:$B$84,"Enterprise",Data_MRR!$A$5:$A$84,$A16)</f>
        <v/>
      </c>
      <c r="H16" s="5" t="n"/>
      <c r="I16" s="10" t="n">
        <v>45292</v>
      </c>
    </row>
    <row r="17">
      <c r="A17" s="10" t="n">
        <v>45351</v>
      </c>
      <c r="B17" s="15">
        <f>SUMIFS(Data_MRR!$H$5:$H$84,Data_MRR!$B$5:$B$84,"Total",Data_MRR!$A$5:$A$84,$A17)</f>
        <v/>
      </c>
      <c r="C17" s="15">
        <f>SUMIFS(Data_Costs!$C$153:$C$216,Data_Costs!$B$153:$B$216,"CS Salaries",Data_Costs!$A$153:$A$216,$I17)+SUMIFS(Data_Costs!$C$153:$C$216,Data_Costs!$B$153:$B$216,"Infrastructure",Data_Costs!$A$153:$A$216,$I17)+SUMIFS(Data_Costs!$C$153:$C$216,Data_Costs!$B$153:$B$216,"Content Production",Data_Costs!$A$153:$A$216,$I17)</f>
        <v/>
      </c>
      <c r="D17" s="30">
        <f>1-C17/B17</f>
        <v/>
      </c>
      <c r="E17" s="15">
        <f>SUMIFS(Data_MRR!$H$5:$H$84,Data_MRR!$B$5:$B$84,"B2C",Data_MRR!$A$5:$A$84,$A17)/SUMIFS(Data_MRR!$I$5:$I$84,Data_MRR!$B$5:$B$84,"B2C",Data_MRR!$A$5:$A$84,$A17)</f>
        <v/>
      </c>
      <c r="F17" s="15">
        <f>SUMIFS(Data_MRR!$H$5:$H$84,Data_MRR!$B$5:$B$84,"SMB",Data_MRR!$A$5:$A$84,$A17)/SUMIFS(Data_MRR!$I$5:$I$84,Data_MRR!$B$5:$B$84,"SMB",Data_MRR!$A$5:$A$84,$A17)</f>
        <v/>
      </c>
      <c r="G17" s="15">
        <f>SUMIFS(Data_MRR!$H$5:$H$84,Data_MRR!$B$5:$B$84,"Enterprise",Data_MRR!$A$5:$A$84,$A17)/SUMIFS(Data_MRR!$I$5:$I$84,Data_MRR!$B$5:$B$84,"Enterprise",Data_MRR!$A$5:$A$84,$A17)</f>
        <v/>
      </c>
      <c r="H17" s="5" t="n"/>
      <c r="I17" s="10" t="n">
        <v>45323</v>
      </c>
    </row>
    <row r="18">
      <c r="A18" s="10" t="n">
        <v>45382</v>
      </c>
      <c r="B18" s="15">
        <f>SUMIFS(Data_MRR!$H$5:$H$84,Data_MRR!$B$5:$B$84,"Total",Data_MRR!$A$5:$A$84,$A18)</f>
        <v/>
      </c>
      <c r="C18" s="15">
        <f>SUMIFS(Data_Costs!$C$153:$C$216,Data_Costs!$B$153:$B$216,"CS Salaries",Data_Costs!$A$153:$A$216,$I18)+SUMIFS(Data_Costs!$C$153:$C$216,Data_Costs!$B$153:$B$216,"Infrastructure",Data_Costs!$A$153:$A$216,$I18)+SUMIFS(Data_Costs!$C$153:$C$216,Data_Costs!$B$153:$B$216,"Content Production",Data_Costs!$A$153:$A$216,$I18)</f>
        <v/>
      </c>
      <c r="D18" s="30">
        <f>1-C18/B18</f>
        <v/>
      </c>
      <c r="E18" s="15">
        <f>SUMIFS(Data_MRR!$H$5:$H$84,Data_MRR!$B$5:$B$84,"B2C",Data_MRR!$A$5:$A$84,$A18)/SUMIFS(Data_MRR!$I$5:$I$84,Data_MRR!$B$5:$B$84,"B2C",Data_MRR!$A$5:$A$84,$A18)</f>
        <v/>
      </c>
      <c r="F18" s="15">
        <f>SUMIFS(Data_MRR!$H$5:$H$84,Data_MRR!$B$5:$B$84,"SMB",Data_MRR!$A$5:$A$84,$A18)/SUMIFS(Data_MRR!$I$5:$I$84,Data_MRR!$B$5:$B$84,"SMB",Data_MRR!$A$5:$A$84,$A18)</f>
        <v/>
      </c>
      <c r="G18" s="15">
        <f>SUMIFS(Data_MRR!$H$5:$H$84,Data_MRR!$B$5:$B$84,"Enterprise",Data_MRR!$A$5:$A$84,$A18)/SUMIFS(Data_MRR!$I$5:$I$84,Data_MRR!$B$5:$B$84,"Enterprise",Data_MRR!$A$5:$A$84,$A18)</f>
        <v/>
      </c>
      <c r="H18" s="5" t="n"/>
      <c r="I18" s="10" t="n">
        <v>45352</v>
      </c>
    </row>
    <row r="19">
      <c r="A19" s="10" t="n">
        <v>45412</v>
      </c>
      <c r="B19" s="15">
        <f>SUMIFS(Data_MRR!$H$5:$H$84,Data_MRR!$B$5:$B$84,"Total",Data_MRR!$A$5:$A$84,$A19)</f>
        <v/>
      </c>
      <c r="C19" s="15">
        <f>SUMIFS(Data_Costs!$C$153:$C$216,Data_Costs!$B$153:$B$216,"CS Salaries",Data_Costs!$A$153:$A$216,$I19)+SUMIFS(Data_Costs!$C$153:$C$216,Data_Costs!$B$153:$B$216,"Infrastructure",Data_Costs!$A$153:$A$216,$I19)+SUMIFS(Data_Costs!$C$153:$C$216,Data_Costs!$B$153:$B$216,"Content Production",Data_Costs!$A$153:$A$216,$I19)</f>
        <v/>
      </c>
      <c r="D19" s="30">
        <f>1-C19/B19</f>
        <v/>
      </c>
      <c r="E19" s="15">
        <f>SUMIFS(Data_MRR!$H$5:$H$84,Data_MRR!$B$5:$B$84,"B2C",Data_MRR!$A$5:$A$84,$A19)/SUMIFS(Data_MRR!$I$5:$I$84,Data_MRR!$B$5:$B$84,"B2C",Data_MRR!$A$5:$A$84,$A19)</f>
        <v/>
      </c>
      <c r="F19" s="15">
        <f>SUMIFS(Data_MRR!$H$5:$H$84,Data_MRR!$B$5:$B$84,"SMB",Data_MRR!$A$5:$A$84,$A19)/SUMIFS(Data_MRR!$I$5:$I$84,Data_MRR!$B$5:$B$84,"SMB",Data_MRR!$A$5:$A$84,$A19)</f>
        <v/>
      </c>
      <c r="G19" s="15">
        <f>SUMIFS(Data_MRR!$H$5:$H$84,Data_MRR!$B$5:$B$84,"Enterprise",Data_MRR!$A$5:$A$84,$A19)/SUMIFS(Data_MRR!$I$5:$I$84,Data_MRR!$B$5:$B$84,"Enterprise",Data_MRR!$A$5:$A$84,$A19)</f>
        <v/>
      </c>
      <c r="H19" s="5" t="n"/>
      <c r="I19" s="10" t="n">
        <v>45383</v>
      </c>
    </row>
    <row r="20">
      <c r="A20" s="2" t="inlineStr">
        <is>
          <t>T6M average GM% (base, D-17)</t>
        </is>
      </c>
      <c r="B20" s="5" t="n"/>
      <c r="C20" s="5" t="n"/>
      <c r="D20" s="31">
        <f>AVERAGE(D14:D19)</f>
        <v/>
      </c>
    </row>
    <row r="21">
      <c r="A21" s="2" t="inlineStr">
        <is>
          <t>Apr-24 run-rate GM% (single month, D-17 sensitivity)</t>
        </is>
      </c>
      <c r="B21" s="5" t="n"/>
      <c r="C21" s="5" t="n"/>
      <c r="D21" s="31">
        <f>D19</f>
        <v/>
      </c>
    </row>
    <row r="22">
      <c r="A22" s="2" t="inlineStr">
        <is>
          <t>ARPA T6M avg by segment -&gt;</t>
        </is>
      </c>
      <c r="B22" s="5" t="n"/>
      <c r="C22" s="5" t="n"/>
      <c r="D22" s="5" t="n"/>
      <c r="E22" s="32">
        <f>AVERAGE(E14:E19)</f>
        <v/>
      </c>
      <c r="F22" s="32">
        <f>AVERAGE(F14:F19)</f>
        <v/>
      </c>
      <c r="G22" s="32">
        <f>AVERAGE(G14:G19)</f>
        <v/>
      </c>
    </row>
    <row r="24">
      <c r="A24" s="7" t="inlineStr">
        <is>
          <t>GM% selected (per Assumptions GM-basis selector)</t>
        </is>
      </c>
      <c r="B24" s="31">
        <f>IF(Assumptions!$B$7="T6M avg",D20,D21)</f>
        <v/>
      </c>
    </row>
    <row r="26">
      <c r="A26" s="3" t="inlineStr">
        <is>
          <t>Headline unit economics by segment (D-05/D-06/M-12..M-15; GM% uniform by construction -- see note above)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6" t="inlineStr">
        <is>
          <t>Segment</t>
        </is>
      </c>
      <c r="B27" s="6" t="inlineStr">
        <is>
          <t>Marketing spend T6M</t>
        </is>
      </c>
      <c r="C27" s="6" t="inlineStr">
        <is>
          <t>Marketing spend T16M</t>
        </is>
      </c>
      <c r="D27" s="6" t="inlineStr">
        <is>
          <t>New paying customers T6M</t>
        </is>
      </c>
      <c r="E27" s="6" t="inlineStr">
        <is>
          <t>New paying customers T16M</t>
        </is>
      </c>
      <c r="F27" s="6" t="inlineStr">
        <is>
          <t>Allocated G&amp;A T6M</t>
        </is>
      </c>
      <c r="G27" s="6" t="inlineStr">
        <is>
          <t>Allocated G&amp;A T16M</t>
        </is>
      </c>
      <c r="H27" s="6" t="inlineStr">
        <is>
          <t>CAC fully loaded T6M</t>
        </is>
      </c>
      <c r="I27" s="6" t="inlineStr">
        <is>
          <t>CAC fully loaded T16M</t>
        </is>
      </c>
      <c r="J27" s="6" t="inlineStr">
        <is>
          <t>ARPA (T6M avg)</t>
        </is>
      </c>
      <c r="K27" s="6" t="inlineStr">
        <is>
          <t>GM% (selected)</t>
        </is>
      </c>
      <c r="L27" s="6" t="inlineStr">
        <is>
          <t>Revenue Apr-24</t>
        </is>
      </c>
      <c r="M27" s="6" t="inlineStr">
        <is>
          <t>Lifetime, $ curve (60mo cap)</t>
        </is>
      </c>
      <c r="N27" s="6" t="inlineStr">
        <is>
          <t>LTV (60mo cap)</t>
        </is>
      </c>
      <c r="O27" s="6" t="inlineStr">
        <is>
          <t>LTV:CAC (T6M)</t>
        </is>
      </c>
    </row>
    <row r="28">
      <c r="A28" s="5" t="inlineStr">
        <is>
          <t>B2C</t>
        </is>
      </c>
      <c r="B28" s="15">
        <f>SUMIFS(Data_Costs!$D$6:$D$149,Data_Costs!$B$6:$B$149,"B2C",Data_Costs!$A$6:$A$149,"&gt;="&amp;Assumptions!$B$12,Data_Costs!$A$6:$A$149,"&lt;="&amp;Assumptions!$B$13)</f>
        <v/>
      </c>
      <c r="C28" s="15">
        <f>SUMIFS(Data_Costs!$D$6:$D$149,Data_Costs!$B$6:$B$149,"B2C",Data_Costs!$A$6:$A$149,"&gt;="&amp;Assumptions!$B$15,Data_Costs!$A$6:$A$149,"&lt;="&amp;Assumptions!$B$13)</f>
        <v/>
      </c>
      <c r="D28" s="16">
        <f>SUMIFS(Data_Costs!$C$220:$C$299,Data_Costs!$B$220:$B$299,"B2C",Data_Costs!$A$220:$A$299,"&gt;="&amp;Assumptions!$B$12,Data_Costs!$A$220:$A$299,"&lt;="&amp;Assumptions!$B$13)</f>
        <v/>
      </c>
      <c r="E28" s="16">
        <f>SUMIFS(Data_Costs!$C$220:$C$299,Data_Costs!$B$220:$B$299,"B2C",Data_Costs!$A$220:$A$299,"&gt;="&amp;Assumptions!$B$15,Data_Costs!$A$220:$A$299,"&lt;="&amp;Assumptions!$B$13)</f>
        <v/>
      </c>
      <c r="F28" s="29">
        <f>$B$10*B28/$B$6</f>
        <v/>
      </c>
      <c r="G28" s="29">
        <f>$C$10*C28/$C$6</f>
        <v/>
      </c>
      <c r="H28" s="29">
        <f>(B28+F28)/D28</f>
        <v/>
      </c>
      <c r="I28" s="29">
        <f>(C28+G28)/E28</f>
        <v/>
      </c>
      <c r="J28" s="15">
        <f>$E$22</f>
        <v/>
      </c>
      <c r="K28" s="24">
        <f>$B$24</f>
        <v/>
      </c>
      <c r="L28" s="15">
        <f>SUMIFS(Data_MRR!$H$5:$H$84,Data_MRR!$B$5:$B$84,"B2C",Data_MRR!$A$5:$A$84,Assumptions!$B$10)</f>
        <v/>
      </c>
      <c r="M28" s="33">
        <f>C94</f>
        <v/>
      </c>
      <c r="N28" s="29">
        <f>J28*K28*M28</f>
        <v/>
      </c>
      <c r="O28" s="34">
        <f>N28/H28</f>
        <v/>
      </c>
    </row>
    <row r="29">
      <c r="A29" s="5" t="inlineStr">
        <is>
          <t>SMB</t>
        </is>
      </c>
      <c r="B29" s="15">
        <f>SUMIFS(Data_Costs!$D$6:$D$149,Data_Costs!$B$6:$B$149,"SMB",Data_Costs!$A$6:$A$149,"&gt;="&amp;Assumptions!$B$12,Data_Costs!$A$6:$A$149,"&lt;="&amp;Assumptions!$B$13)</f>
        <v/>
      </c>
      <c r="C29" s="15">
        <f>SUMIFS(Data_Costs!$D$6:$D$149,Data_Costs!$B$6:$B$149,"SMB",Data_Costs!$A$6:$A$149,"&gt;="&amp;Assumptions!$B$15,Data_Costs!$A$6:$A$149,"&lt;="&amp;Assumptions!$B$13)</f>
        <v/>
      </c>
      <c r="D29" s="16">
        <f>SUMIFS(Data_Costs!$C$220:$C$299,Data_Costs!$B$220:$B$299,"SMB",Data_Costs!$A$220:$A$299,"&gt;="&amp;Assumptions!$B$12,Data_Costs!$A$220:$A$299,"&lt;="&amp;Assumptions!$B$13)</f>
        <v/>
      </c>
      <c r="E29" s="16">
        <f>SUMIFS(Data_Costs!$C$220:$C$299,Data_Costs!$B$220:$B$299,"SMB",Data_Costs!$A$220:$A$299,"&gt;="&amp;Assumptions!$B$15,Data_Costs!$A$220:$A$299,"&lt;="&amp;Assumptions!$B$13)</f>
        <v/>
      </c>
      <c r="F29" s="29">
        <f>$B$10*B29/$B$6</f>
        <v/>
      </c>
      <c r="G29" s="29">
        <f>$C$10*C29/$C$6</f>
        <v/>
      </c>
      <c r="H29" s="29">
        <f>(B29+F29)/D29</f>
        <v/>
      </c>
      <c r="I29" s="29">
        <f>(C29+G29)/E29</f>
        <v/>
      </c>
      <c r="J29" s="15">
        <f>$F$22</f>
        <v/>
      </c>
      <c r="K29" s="24">
        <f>$B$24</f>
        <v/>
      </c>
      <c r="L29" s="15">
        <f>SUMIFS(Data_MRR!$H$5:$H$84,Data_MRR!$B$5:$B$84,"SMB",Data_MRR!$A$5:$A$84,Assumptions!$B$10)</f>
        <v/>
      </c>
      <c r="M29" s="33">
        <f>F94</f>
        <v/>
      </c>
      <c r="N29" s="29">
        <f>J29*K29*M29</f>
        <v/>
      </c>
      <c r="O29" s="34">
        <f>N29/H29</f>
        <v/>
      </c>
    </row>
    <row r="30">
      <c r="A30" s="5" t="inlineStr">
        <is>
          <t>Enterprise</t>
        </is>
      </c>
      <c r="B30" s="15">
        <f>SUMIFS(Data_Costs!$D$6:$D$149,Data_Costs!$B$6:$B$149,"Enterprise",Data_Costs!$A$6:$A$149,"&gt;="&amp;Assumptions!$B$12,Data_Costs!$A$6:$A$149,"&lt;="&amp;Assumptions!$B$13)</f>
        <v/>
      </c>
      <c r="C30" s="15">
        <f>SUMIFS(Data_Costs!$D$6:$D$149,Data_Costs!$B$6:$B$149,"Enterprise",Data_Costs!$A$6:$A$149,"&gt;="&amp;Assumptions!$B$15,Data_Costs!$A$6:$A$149,"&lt;="&amp;Assumptions!$B$13)</f>
        <v/>
      </c>
      <c r="D30" s="16">
        <f>SUMIFS(Data_Costs!$C$220:$C$299,Data_Costs!$B$220:$B$299,"Enterprise",Data_Costs!$A$220:$A$299,"&gt;="&amp;Assumptions!$B$12,Data_Costs!$A$220:$A$299,"&lt;="&amp;Assumptions!$B$13)</f>
        <v/>
      </c>
      <c r="E30" s="16">
        <f>SUMIFS(Data_Costs!$C$220:$C$299,Data_Costs!$B$220:$B$299,"Enterprise",Data_Costs!$A$220:$A$299,"&gt;="&amp;Assumptions!$B$15,Data_Costs!$A$220:$A$299,"&lt;="&amp;Assumptions!$B$13)</f>
        <v/>
      </c>
      <c r="F30" s="29">
        <f>$B$10*B30/$B$6</f>
        <v/>
      </c>
      <c r="G30" s="29">
        <f>$C$10*C30/$C$6</f>
        <v/>
      </c>
      <c r="H30" s="29">
        <f>(B30+F30)/D30</f>
        <v/>
      </c>
      <c r="I30" s="29">
        <f>(C30+G30)/E30</f>
        <v/>
      </c>
      <c r="J30" s="15">
        <f>$G$22</f>
        <v/>
      </c>
      <c r="K30" s="24">
        <f>$B$24</f>
        <v/>
      </c>
      <c r="L30" s="15">
        <f>SUMIFS(Data_MRR!$H$5:$H$84,Data_MRR!$B$5:$B$84,"Enterprise",Data_MRR!$A$5:$A$84,Assumptions!$B$10)</f>
        <v/>
      </c>
      <c r="M30" s="33">
        <f>I94</f>
        <v/>
      </c>
      <c r="N30" s="29">
        <f>J30*K30*M30</f>
        <v/>
      </c>
      <c r="O30" s="34">
        <f>N30/H30</f>
        <v/>
      </c>
    </row>
    <row r="31">
      <c r="A31" s="7" t="inlineStr">
        <is>
          <t>Total</t>
        </is>
      </c>
      <c r="B31" s="15">
        <f>SUM(B28:B30)</f>
        <v/>
      </c>
      <c r="C31" s="15">
        <f>SUM(C28:C30)</f>
        <v/>
      </c>
      <c r="D31" s="16">
        <f>SUM(D28:D30)</f>
        <v/>
      </c>
      <c r="E31" s="16">
        <f>SUM(E28:E30)</f>
        <v/>
      </c>
      <c r="F31" s="29">
        <f>$B$10*B31/$B$6</f>
        <v/>
      </c>
      <c r="G31" s="29">
        <f>$C$10*C31/$C$6</f>
        <v/>
      </c>
      <c r="H31" s="29">
        <f>(B31+F31)/D31</f>
        <v/>
      </c>
      <c r="I31" s="29">
        <f>(C31+G31)/E31</f>
        <v/>
      </c>
      <c r="J31" s="15">
        <f>AVERAGE(E22:G22)</f>
        <v/>
      </c>
      <c r="K31" s="24">
        <f>$B$24</f>
        <v/>
      </c>
      <c r="L31" s="15">
        <f>SUMIFS(Data_MRR!$H$5:$H$84,Data_MRR!$B$5:$B$84,"Total",Data_MRR!$A$5:$A$84,Assumptions!$B$10)</f>
        <v/>
      </c>
      <c r="M31" s="33">
        <f>SUMPRODUCT(D28:D30,M28:M30)/D31</f>
        <v/>
      </c>
      <c r="N31" s="29">
        <f>SUMPRODUCT(D28:D30,N28:N30)/D31</f>
        <v/>
      </c>
      <c r="O31" s="34">
        <f>N31/H31</f>
        <v/>
      </c>
    </row>
    <row r="33">
      <c r="A33" s="3" t="inlineStr">
        <is>
          <t>60-month lifetime curve, $ basis (M-14; A-15..A-18, A-23): observed dollar retention for k=0..k_rel (Data_Survival), then an extrapolated geometric tail using each segment's tail decay rate (Assumptions). Lifetime = sum of the curve.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6" t="inlineStr">
        <is>
          <t>k (months since signup)</t>
        </is>
      </c>
      <c r="B34" s="6" t="inlineStr">
        <is>
          <t>B2C curve</t>
        </is>
      </c>
      <c r="C34" s="6" t="inlineStr">
        <is>
          <t>B2C cumulative (=lifetime thru k)</t>
        </is>
      </c>
      <c r="D34" s="6" t="inlineStr">
        <is>
          <t>B2C cum. gross profit/cust</t>
        </is>
      </c>
      <c r="E34" s="6" t="inlineStr">
        <is>
          <t>SMB curve</t>
        </is>
      </c>
      <c r="F34" s="6" t="inlineStr">
        <is>
          <t>SMB cumulative (=lifetime thru k)</t>
        </is>
      </c>
      <c r="G34" s="6" t="inlineStr">
        <is>
          <t>SMB cum. gross profit/cust</t>
        </is>
      </c>
      <c r="H34" s="6" t="inlineStr">
        <is>
          <t>Enterprise curve</t>
        </is>
      </c>
      <c r="I34" s="6" t="inlineStr">
        <is>
          <t>Enterprise cumulative (=lifetime thru k)</t>
        </is>
      </c>
      <c r="J34" s="6" t="inlineStr">
        <is>
          <t>Enterprise cum. gross profit/cust</t>
        </is>
      </c>
    </row>
    <row r="35">
      <c r="A35" s="12" t="n">
        <v>0</v>
      </c>
      <c r="B35" s="30">
        <f>SUMIFS(Data_Survival!$H$5:$H$84,Data_Survival!$A$5:$A$84,"B2C",Data_Survival!$B$5:$B$84,$A35)</f>
        <v/>
      </c>
      <c r="C35" s="35">
        <f>B35</f>
        <v/>
      </c>
      <c r="D35" s="29">
        <f>C35*$E$22*$B$24</f>
        <v/>
      </c>
      <c r="E35" s="30">
        <f>SUMIFS(Data_Survival!$H$5:$H$84,Data_Survival!$A$5:$A$84,"SMB",Data_Survival!$B$5:$B$84,$A35)</f>
        <v/>
      </c>
      <c r="F35" s="35">
        <f>E35</f>
        <v/>
      </c>
      <c r="G35" s="29">
        <f>F35*$F$22*$B$24</f>
        <v/>
      </c>
      <c r="H35" s="30">
        <f>SUMIFS(Data_Survival!$H$5:$H$84,Data_Survival!$A$5:$A$84,"Enterprise",Data_Survival!$B$5:$B$84,$A35)</f>
        <v/>
      </c>
      <c r="I35" s="35">
        <f>H35</f>
        <v/>
      </c>
      <c r="J35" s="29">
        <f>I35*$G$22*$B$24</f>
        <v/>
      </c>
    </row>
    <row r="36">
      <c r="A36" s="12" t="n">
        <v>1</v>
      </c>
      <c r="B36" s="30">
        <f>IF($A36&lt;=Assumptions!$B$44,SUMIFS(Data_Survival!$H$5:$H$84,Data_Survival!$A$5:$A$84,"B2C",Data_Survival!$B$5:$B$84,$A36),B35*(1-Assumptions!$C$44))</f>
        <v/>
      </c>
      <c r="C36" s="35">
        <f>C35+B36</f>
        <v/>
      </c>
      <c r="D36" s="29">
        <f>C36*$E$22*$B$24</f>
        <v/>
      </c>
      <c r="E36" s="30">
        <f>IF($A36&lt;=Assumptions!$B$45,SUMIFS(Data_Survival!$H$5:$H$84,Data_Survival!$A$5:$A$84,"SMB",Data_Survival!$B$5:$B$84,$A36),E35*(1-Assumptions!$C$45))</f>
        <v/>
      </c>
      <c r="F36" s="35">
        <f>F35+E36</f>
        <v/>
      </c>
      <c r="G36" s="29">
        <f>F36*$F$22*$B$24</f>
        <v/>
      </c>
      <c r="H36" s="30">
        <f>IF($A36&lt;=Assumptions!$B$46,SUMIFS(Data_Survival!$H$5:$H$84,Data_Survival!$A$5:$A$84,"Enterprise",Data_Survival!$B$5:$B$84,$A36),H35*(1-Assumptions!$C$46))</f>
        <v/>
      </c>
      <c r="I36" s="35">
        <f>I35+H36</f>
        <v/>
      </c>
      <c r="J36" s="29">
        <f>I36*$G$22*$B$24</f>
        <v/>
      </c>
    </row>
    <row r="37">
      <c r="A37" s="12" t="n">
        <v>2</v>
      </c>
      <c r="B37" s="30">
        <f>IF($A37&lt;=Assumptions!$B$44,SUMIFS(Data_Survival!$H$5:$H$84,Data_Survival!$A$5:$A$84,"B2C",Data_Survival!$B$5:$B$84,$A37),B36*(1-Assumptions!$C$44))</f>
        <v/>
      </c>
      <c r="C37" s="35">
        <f>C36+B37</f>
        <v/>
      </c>
      <c r="D37" s="29">
        <f>C37*$E$22*$B$24</f>
        <v/>
      </c>
      <c r="E37" s="30">
        <f>IF($A37&lt;=Assumptions!$B$45,SUMIFS(Data_Survival!$H$5:$H$84,Data_Survival!$A$5:$A$84,"SMB",Data_Survival!$B$5:$B$84,$A37),E36*(1-Assumptions!$C$45))</f>
        <v/>
      </c>
      <c r="F37" s="35">
        <f>F36+E37</f>
        <v/>
      </c>
      <c r="G37" s="29">
        <f>F37*$F$22*$B$24</f>
        <v/>
      </c>
      <c r="H37" s="30">
        <f>IF($A37&lt;=Assumptions!$B$46,SUMIFS(Data_Survival!$H$5:$H$84,Data_Survival!$A$5:$A$84,"Enterprise",Data_Survival!$B$5:$B$84,$A37),H36*(1-Assumptions!$C$46))</f>
        <v/>
      </c>
      <c r="I37" s="35">
        <f>I36+H37</f>
        <v/>
      </c>
      <c r="J37" s="29">
        <f>I37*$G$22*$B$24</f>
        <v/>
      </c>
    </row>
    <row r="38">
      <c r="A38" s="12" t="n">
        <v>3</v>
      </c>
      <c r="B38" s="30">
        <f>IF($A38&lt;=Assumptions!$B$44,SUMIFS(Data_Survival!$H$5:$H$84,Data_Survival!$A$5:$A$84,"B2C",Data_Survival!$B$5:$B$84,$A38),B37*(1-Assumptions!$C$44))</f>
        <v/>
      </c>
      <c r="C38" s="35">
        <f>C37+B38</f>
        <v/>
      </c>
      <c r="D38" s="29">
        <f>C38*$E$22*$B$24</f>
        <v/>
      </c>
      <c r="E38" s="30">
        <f>IF($A38&lt;=Assumptions!$B$45,SUMIFS(Data_Survival!$H$5:$H$84,Data_Survival!$A$5:$A$84,"SMB",Data_Survival!$B$5:$B$84,$A38),E37*(1-Assumptions!$C$45))</f>
        <v/>
      </c>
      <c r="F38" s="35">
        <f>F37+E38</f>
        <v/>
      </c>
      <c r="G38" s="29">
        <f>F38*$F$22*$B$24</f>
        <v/>
      </c>
      <c r="H38" s="30">
        <f>IF($A38&lt;=Assumptions!$B$46,SUMIFS(Data_Survival!$H$5:$H$84,Data_Survival!$A$5:$A$84,"Enterprise",Data_Survival!$B$5:$B$84,$A38),H37*(1-Assumptions!$C$46))</f>
        <v/>
      </c>
      <c r="I38" s="35">
        <f>I37+H38</f>
        <v/>
      </c>
      <c r="J38" s="29">
        <f>I38*$G$22*$B$24</f>
        <v/>
      </c>
    </row>
    <row r="39">
      <c r="A39" s="12" t="n">
        <v>4</v>
      </c>
      <c r="B39" s="30">
        <f>IF($A39&lt;=Assumptions!$B$44,SUMIFS(Data_Survival!$H$5:$H$84,Data_Survival!$A$5:$A$84,"B2C",Data_Survival!$B$5:$B$84,$A39),B38*(1-Assumptions!$C$44))</f>
        <v/>
      </c>
      <c r="C39" s="35">
        <f>C38+B39</f>
        <v/>
      </c>
      <c r="D39" s="29">
        <f>C39*$E$22*$B$24</f>
        <v/>
      </c>
      <c r="E39" s="30">
        <f>IF($A39&lt;=Assumptions!$B$45,SUMIFS(Data_Survival!$H$5:$H$84,Data_Survival!$A$5:$A$84,"SMB",Data_Survival!$B$5:$B$84,$A39),E38*(1-Assumptions!$C$45))</f>
        <v/>
      </c>
      <c r="F39" s="35">
        <f>F38+E39</f>
        <v/>
      </c>
      <c r="G39" s="29">
        <f>F39*$F$22*$B$24</f>
        <v/>
      </c>
      <c r="H39" s="30">
        <f>IF($A39&lt;=Assumptions!$B$46,SUMIFS(Data_Survival!$H$5:$H$84,Data_Survival!$A$5:$A$84,"Enterprise",Data_Survival!$B$5:$B$84,$A39),H38*(1-Assumptions!$C$46))</f>
        <v/>
      </c>
      <c r="I39" s="35">
        <f>I38+H39</f>
        <v/>
      </c>
      <c r="J39" s="29">
        <f>I39*$G$22*$B$24</f>
        <v/>
      </c>
    </row>
    <row r="40">
      <c r="A40" s="12" t="n">
        <v>5</v>
      </c>
      <c r="B40" s="30">
        <f>IF($A40&lt;=Assumptions!$B$44,SUMIFS(Data_Survival!$H$5:$H$84,Data_Survival!$A$5:$A$84,"B2C",Data_Survival!$B$5:$B$84,$A40),B39*(1-Assumptions!$C$44))</f>
        <v/>
      </c>
      <c r="C40" s="35">
        <f>C39+B40</f>
        <v/>
      </c>
      <c r="D40" s="29">
        <f>C40*$E$22*$B$24</f>
        <v/>
      </c>
      <c r="E40" s="30">
        <f>IF($A40&lt;=Assumptions!$B$45,SUMIFS(Data_Survival!$H$5:$H$84,Data_Survival!$A$5:$A$84,"SMB",Data_Survival!$B$5:$B$84,$A40),E39*(1-Assumptions!$C$45))</f>
        <v/>
      </c>
      <c r="F40" s="35">
        <f>F39+E40</f>
        <v/>
      </c>
      <c r="G40" s="29">
        <f>F40*$F$22*$B$24</f>
        <v/>
      </c>
      <c r="H40" s="30">
        <f>IF($A40&lt;=Assumptions!$B$46,SUMIFS(Data_Survival!$H$5:$H$84,Data_Survival!$A$5:$A$84,"Enterprise",Data_Survival!$B$5:$B$84,$A40),H39*(1-Assumptions!$C$46))</f>
        <v/>
      </c>
      <c r="I40" s="35">
        <f>I39+H40</f>
        <v/>
      </c>
      <c r="J40" s="29">
        <f>I40*$G$22*$B$24</f>
        <v/>
      </c>
    </row>
    <row r="41">
      <c r="A41" s="12" t="n">
        <v>6</v>
      </c>
      <c r="B41" s="30">
        <f>IF($A41&lt;=Assumptions!$B$44,SUMIFS(Data_Survival!$H$5:$H$84,Data_Survival!$A$5:$A$84,"B2C",Data_Survival!$B$5:$B$84,$A41),B40*(1-Assumptions!$C$44))</f>
        <v/>
      </c>
      <c r="C41" s="35">
        <f>C40+B41</f>
        <v/>
      </c>
      <c r="D41" s="29">
        <f>C41*$E$22*$B$24</f>
        <v/>
      </c>
      <c r="E41" s="30">
        <f>IF($A41&lt;=Assumptions!$B$45,SUMIFS(Data_Survival!$H$5:$H$84,Data_Survival!$A$5:$A$84,"SMB",Data_Survival!$B$5:$B$84,$A41),E40*(1-Assumptions!$C$45))</f>
        <v/>
      </c>
      <c r="F41" s="35">
        <f>F40+E41</f>
        <v/>
      </c>
      <c r="G41" s="29">
        <f>F41*$F$22*$B$24</f>
        <v/>
      </c>
      <c r="H41" s="30">
        <f>IF($A41&lt;=Assumptions!$B$46,SUMIFS(Data_Survival!$H$5:$H$84,Data_Survival!$A$5:$A$84,"Enterprise",Data_Survival!$B$5:$B$84,$A41),H40*(1-Assumptions!$C$46))</f>
        <v/>
      </c>
      <c r="I41" s="35">
        <f>I40+H41</f>
        <v/>
      </c>
      <c r="J41" s="29">
        <f>I41*$G$22*$B$24</f>
        <v/>
      </c>
    </row>
    <row r="42">
      <c r="A42" s="12" t="n">
        <v>7</v>
      </c>
      <c r="B42" s="30">
        <f>IF($A42&lt;=Assumptions!$B$44,SUMIFS(Data_Survival!$H$5:$H$84,Data_Survival!$A$5:$A$84,"B2C",Data_Survival!$B$5:$B$84,$A42),B41*(1-Assumptions!$C$44))</f>
        <v/>
      </c>
      <c r="C42" s="35">
        <f>C41+B42</f>
        <v/>
      </c>
      <c r="D42" s="29">
        <f>C42*$E$22*$B$24</f>
        <v/>
      </c>
      <c r="E42" s="30">
        <f>IF($A42&lt;=Assumptions!$B$45,SUMIFS(Data_Survival!$H$5:$H$84,Data_Survival!$A$5:$A$84,"SMB",Data_Survival!$B$5:$B$84,$A42),E41*(1-Assumptions!$C$45))</f>
        <v/>
      </c>
      <c r="F42" s="35">
        <f>F41+E42</f>
        <v/>
      </c>
      <c r="G42" s="29">
        <f>F42*$F$22*$B$24</f>
        <v/>
      </c>
      <c r="H42" s="30">
        <f>IF($A42&lt;=Assumptions!$B$46,SUMIFS(Data_Survival!$H$5:$H$84,Data_Survival!$A$5:$A$84,"Enterprise",Data_Survival!$B$5:$B$84,$A42),H41*(1-Assumptions!$C$46))</f>
        <v/>
      </c>
      <c r="I42" s="35">
        <f>I41+H42</f>
        <v/>
      </c>
      <c r="J42" s="29">
        <f>I42*$G$22*$B$24</f>
        <v/>
      </c>
    </row>
    <row r="43">
      <c r="A43" s="12" t="n">
        <v>8</v>
      </c>
      <c r="B43" s="30">
        <f>IF($A43&lt;=Assumptions!$B$44,SUMIFS(Data_Survival!$H$5:$H$84,Data_Survival!$A$5:$A$84,"B2C",Data_Survival!$B$5:$B$84,$A43),B42*(1-Assumptions!$C$44))</f>
        <v/>
      </c>
      <c r="C43" s="35">
        <f>C42+B43</f>
        <v/>
      </c>
      <c r="D43" s="29">
        <f>C43*$E$22*$B$24</f>
        <v/>
      </c>
      <c r="E43" s="30">
        <f>IF($A43&lt;=Assumptions!$B$45,SUMIFS(Data_Survival!$H$5:$H$84,Data_Survival!$A$5:$A$84,"SMB",Data_Survival!$B$5:$B$84,$A43),E42*(1-Assumptions!$C$45))</f>
        <v/>
      </c>
      <c r="F43" s="35">
        <f>F42+E43</f>
        <v/>
      </c>
      <c r="G43" s="29">
        <f>F43*$F$22*$B$24</f>
        <v/>
      </c>
      <c r="H43" s="30">
        <f>IF($A43&lt;=Assumptions!$B$46,SUMIFS(Data_Survival!$H$5:$H$84,Data_Survival!$A$5:$A$84,"Enterprise",Data_Survival!$B$5:$B$84,$A43),H42*(1-Assumptions!$C$46))</f>
        <v/>
      </c>
      <c r="I43" s="35">
        <f>I42+H43</f>
        <v/>
      </c>
      <c r="J43" s="29">
        <f>I43*$G$22*$B$24</f>
        <v/>
      </c>
    </row>
    <row r="44">
      <c r="A44" s="12" t="n">
        <v>9</v>
      </c>
      <c r="B44" s="30">
        <f>IF($A44&lt;=Assumptions!$B$44,SUMIFS(Data_Survival!$H$5:$H$84,Data_Survival!$A$5:$A$84,"B2C",Data_Survival!$B$5:$B$84,$A44),B43*(1-Assumptions!$C$44))</f>
        <v/>
      </c>
      <c r="C44" s="35">
        <f>C43+B44</f>
        <v/>
      </c>
      <c r="D44" s="29">
        <f>C44*$E$22*$B$24</f>
        <v/>
      </c>
      <c r="E44" s="30">
        <f>IF($A44&lt;=Assumptions!$B$45,SUMIFS(Data_Survival!$H$5:$H$84,Data_Survival!$A$5:$A$84,"SMB",Data_Survival!$B$5:$B$84,$A44),E43*(1-Assumptions!$C$45))</f>
        <v/>
      </c>
      <c r="F44" s="35">
        <f>F43+E44</f>
        <v/>
      </c>
      <c r="G44" s="29">
        <f>F44*$F$22*$B$24</f>
        <v/>
      </c>
      <c r="H44" s="30">
        <f>IF($A44&lt;=Assumptions!$B$46,SUMIFS(Data_Survival!$H$5:$H$84,Data_Survival!$A$5:$A$84,"Enterprise",Data_Survival!$B$5:$B$84,$A44),H43*(1-Assumptions!$C$46))</f>
        <v/>
      </c>
      <c r="I44" s="35">
        <f>I43+H44</f>
        <v/>
      </c>
      <c r="J44" s="29">
        <f>I44*$G$22*$B$24</f>
        <v/>
      </c>
    </row>
    <row r="45">
      <c r="A45" s="12" t="n">
        <v>10</v>
      </c>
      <c r="B45" s="30">
        <f>IF($A45&lt;=Assumptions!$B$44,SUMIFS(Data_Survival!$H$5:$H$84,Data_Survival!$A$5:$A$84,"B2C",Data_Survival!$B$5:$B$84,$A45),B44*(1-Assumptions!$C$44))</f>
        <v/>
      </c>
      <c r="C45" s="35">
        <f>C44+B45</f>
        <v/>
      </c>
      <c r="D45" s="29">
        <f>C45*$E$22*$B$24</f>
        <v/>
      </c>
      <c r="E45" s="30">
        <f>IF($A45&lt;=Assumptions!$B$45,SUMIFS(Data_Survival!$H$5:$H$84,Data_Survival!$A$5:$A$84,"SMB",Data_Survival!$B$5:$B$84,$A45),E44*(1-Assumptions!$C$45))</f>
        <v/>
      </c>
      <c r="F45" s="35">
        <f>F44+E45</f>
        <v/>
      </c>
      <c r="G45" s="29">
        <f>F45*$F$22*$B$24</f>
        <v/>
      </c>
      <c r="H45" s="30">
        <f>IF($A45&lt;=Assumptions!$B$46,SUMIFS(Data_Survival!$H$5:$H$84,Data_Survival!$A$5:$A$84,"Enterprise",Data_Survival!$B$5:$B$84,$A45),H44*(1-Assumptions!$C$46))</f>
        <v/>
      </c>
      <c r="I45" s="35">
        <f>I44+H45</f>
        <v/>
      </c>
      <c r="J45" s="29">
        <f>I45*$G$22*$B$24</f>
        <v/>
      </c>
    </row>
    <row r="46">
      <c r="A46" s="12" t="n">
        <v>11</v>
      </c>
      <c r="B46" s="30">
        <f>IF($A46&lt;=Assumptions!$B$44,SUMIFS(Data_Survival!$H$5:$H$84,Data_Survival!$A$5:$A$84,"B2C",Data_Survival!$B$5:$B$84,$A46),B45*(1-Assumptions!$C$44))</f>
        <v/>
      </c>
      <c r="C46" s="35">
        <f>C45+B46</f>
        <v/>
      </c>
      <c r="D46" s="29">
        <f>C46*$E$22*$B$24</f>
        <v/>
      </c>
      <c r="E46" s="30">
        <f>IF($A46&lt;=Assumptions!$B$45,SUMIFS(Data_Survival!$H$5:$H$84,Data_Survival!$A$5:$A$84,"SMB",Data_Survival!$B$5:$B$84,$A46),E45*(1-Assumptions!$C$45))</f>
        <v/>
      </c>
      <c r="F46" s="35">
        <f>F45+E46</f>
        <v/>
      </c>
      <c r="G46" s="29">
        <f>F46*$F$22*$B$24</f>
        <v/>
      </c>
      <c r="H46" s="30">
        <f>IF($A46&lt;=Assumptions!$B$46,SUMIFS(Data_Survival!$H$5:$H$84,Data_Survival!$A$5:$A$84,"Enterprise",Data_Survival!$B$5:$B$84,$A46),H45*(1-Assumptions!$C$46))</f>
        <v/>
      </c>
      <c r="I46" s="35">
        <f>I45+H46</f>
        <v/>
      </c>
      <c r="J46" s="29">
        <f>I46*$G$22*$B$24</f>
        <v/>
      </c>
    </row>
    <row r="47">
      <c r="A47" s="12" t="n">
        <v>12</v>
      </c>
      <c r="B47" s="30">
        <f>IF($A47&lt;=Assumptions!$B$44,SUMIFS(Data_Survival!$H$5:$H$84,Data_Survival!$A$5:$A$84,"B2C",Data_Survival!$B$5:$B$84,$A47),B46*(1-Assumptions!$C$44))</f>
        <v/>
      </c>
      <c r="C47" s="35">
        <f>C46+B47</f>
        <v/>
      </c>
      <c r="D47" s="29">
        <f>C47*$E$22*$B$24</f>
        <v/>
      </c>
      <c r="E47" s="30">
        <f>IF($A47&lt;=Assumptions!$B$45,SUMIFS(Data_Survival!$H$5:$H$84,Data_Survival!$A$5:$A$84,"SMB",Data_Survival!$B$5:$B$84,$A47),E46*(1-Assumptions!$C$45))</f>
        <v/>
      </c>
      <c r="F47" s="35">
        <f>F46+E47</f>
        <v/>
      </c>
      <c r="G47" s="29">
        <f>F47*$F$22*$B$24</f>
        <v/>
      </c>
      <c r="H47" s="30">
        <f>IF($A47&lt;=Assumptions!$B$46,SUMIFS(Data_Survival!$H$5:$H$84,Data_Survival!$A$5:$A$84,"Enterprise",Data_Survival!$B$5:$B$84,$A47),H46*(1-Assumptions!$C$46))</f>
        <v/>
      </c>
      <c r="I47" s="35">
        <f>I46+H47</f>
        <v/>
      </c>
      <c r="J47" s="29">
        <f>I47*$G$22*$B$24</f>
        <v/>
      </c>
    </row>
    <row r="48">
      <c r="A48" s="12" t="n">
        <v>13</v>
      </c>
      <c r="B48" s="30">
        <f>IF($A48&lt;=Assumptions!$B$44,SUMIFS(Data_Survival!$H$5:$H$84,Data_Survival!$A$5:$A$84,"B2C",Data_Survival!$B$5:$B$84,$A48),B47*(1-Assumptions!$C$44))</f>
        <v/>
      </c>
      <c r="C48" s="35">
        <f>C47+B48</f>
        <v/>
      </c>
      <c r="D48" s="29">
        <f>C48*$E$22*$B$24</f>
        <v/>
      </c>
      <c r="E48" s="30">
        <f>IF($A48&lt;=Assumptions!$B$45,SUMIFS(Data_Survival!$H$5:$H$84,Data_Survival!$A$5:$A$84,"SMB",Data_Survival!$B$5:$B$84,$A48),E47*(1-Assumptions!$C$45))</f>
        <v/>
      </c>
      <c r="F48" s="35">
        <f>F47+E48</f>
        <v/>
      </c>
      <c r="G48" s="29">
        <f>F48*$F$22*$B$24</f>
        <v/>
      </c>
      <c r="H48" s="30">
        <f>IF($A48&lt;=Assumptions!$B$46,SUMIFS(Data_Survival!$H$5:$H$84,Data_Survival!$A$5:$A$84,"Enterprise",Data_Survival!$B$5:$B$84,$A48),H47*(1-Assumptions!$C$46))</f>
        <v/>
      </c>
      <c r="I48" s="35">
        <f>I47+H48</f>
        <v/>
      </c>
      <c r="J48" s="29">
        <f>I48*$G$22*$B$24</f>
        <v/>
      </c>
    </row>
    <row r="49">
      <c r="A49" s="12" t="n">
        <v>14</v>
      </c>
      <c r="B49" s="30">
        <f>IF($A49&lt;=Assumptions!$B$44,SUMIFS(Data_Survival!$H$5:$H$84,Data_Survival!$A$5:$A$84,"B2C",Data_Survival!$B$5:$B$84,$A49),B48*(1-Assumptions!$C$44))</f>
        <v/>
      </c>
      <c r="C49" s="35">
        <f>C48+B49</f>
        <v/>
      </c>
      <c r="D49" s="29">
        <f>C49*$E$22*$B$24</f>
        <v/>
      </c>
      <c r="E49" s="30">
        <f>IF($A49&lt;=Assumptions!$B$45,SUMIFS(Data_Survival!$H$5:$H$84,Data_Survival!$A$5:$A$84,"SMB",Data_Survival!$B$5:$B$84,$A49),E48*(1-Assumptions!$C$45))</f>
        <v/>
      </c>
      <c r="F49" s="35">
        <f>F48+E49</f>
        <v/>
      </c>
      <c r="G49" s="29">
        <f>F49*$F$22*$B$24</f>
        <v/>
      </c>
      <c r="H49" s="30">
        <f>IF($A49&lt;=Assumptions!$B$46,SUMIFS(Data_Survival!$H$5:$H$84,Data_Survival!$A$5:$A$84,"Enterprise",Data_Survival!$B$5:$B$84,$A49),H48*(1-Assumptions!$C$46))</f>
        <v/>
      </c>
      <c r="I49" s="35">
        <f>I48+H49</f>
        <v/>
      </c>
      <c r="J49" s="29">
        <f>I49*$G$22*$B$24</f>
        <v/>
      </c>
    </row>
    <row r="50">
      <c r="A50" s="12" t="n">
        <v>15</v>
      </c>
      <c r="B50" s="30">
        <f>IF($A50&lt;=Assumptions!$B$44,SUMIFS(Data_Survival!$H$5:$H$84,Data_Survival!$A$5:$A$84,"B2C",Data_Survival!$B$5:$B$84,$A50),B49*(1-Assumptions!$C$44))</f>
        <v/>
      </c>
      <c r="C50" s="35">
        <f>C49+B50</f>
        <v/>
      </c>
      <c r="D50" s="29">
        <f>C50*$E$22*$B$24</f>
        <v/>
      </c>
      <c r="E50" s="30">
        <f>IF($A50&lt;=Assumptions!$B$45,SUMIFS(Data_Survival!$H$5:$H$84,Data_Survival!$A$5:$A$84,"SMB",Data_Survival!$B$5:$B$84,$A50),E49*(1-Assumptions!$C$45))</f>
        <v/>
      </c>
      <c r="F50" s="35">
        <f>F49+E50</f>
        <v/>
      </c>
      <c r="G50" s="29">
        <f>F50*$F$22*$B$24</f>
        <v/>
      </c>
      <c r="H50" s="30">
        <f>IF($A50&lt;=Assumptions!$B$46,SUMIFS(Data_Survival!$H$5:$H$84,Data_Survival!$A$5:$A$84,"Enterprise",Data_Survival!$B$5:$B$84,$A50),H49*(1-Assumptions!$C$46))</f>
        <v/>
      </c>
      <c r="I50" s="35">
        <f>I49+H50</f>
        <v/>
      </c>
      <c r="J50" s="29">
        <f>I50*$G$22*$B$24</f>
        <v/>
      </c>
    </row>
    <row r="51">
      <c r="A51" s="12" t="n">
        <v>16</v>
      </c>
      <c r="B51" s="30">
        <f>IF($A51&lt;=Assumptions!$B$44,SUMIFS(Data_Survival!$H$5:$H$84,Data_Survival!$A$5:$A$84,"B2C",Data_Survival!$B$5:$B$84,$A51),B50*(1-Assumptions!$C$44))</f>
        <v/>
      </c>
      <c r="C51" s="35">
        <f>C50+B51</f>
        <v/>
      </c>
      <c r="D51" s="29">
        <f>C51*$E$22*$B$24</f>
        <v/>
      </c>
      <c r="E51" s="30">
        <f>IF($A51&lt;=Assumptions!$B$45,SUMIFS(Data_Survival!$H$5:$H$84,Data_Survival!$A$5:$A$84,"SMB",Data_Survival!$B$5:$B$84,$A51),E50*(1-Assumptions!$C$45))</f>
        <v/>
      </c>
      <c r="F51" s="35">
        <f>F50+E51</f>
        <v/>
      </c>
      <c r="G51" s="29">
        <f>F51*$F$22*$B$24</f>
        <v/>
      </c>
      <c r="H51" s="30">
        <f>IF($A51&lt;=Assumptions!$B$46,SUMIFS(Data_Survival!$H$5:$H$84,Data_Survival!$A$5:$A$84,"Enterprise",Data_Survival!$B$5:$B$84,$A51),H50*(1-Assumptions!$C$46))</f>
        <v/>
      </c>
      <c r="I51" s="35">
        <f>I50+H51</f>
        <v/>
      </c>
      <c r="J51" s="29">
        <f>I51*$G$22*$B$24</f>
        <v/>
      </c>
    </row>
    <row r="52">
      <c r="A52" s="12" t="n">
        <v>17</v>
      </c>
      <c r="B52" s="30">
        <f>IF($A52&lt;=Assumptions!$B$44,SUMIFS(Data_Survival!$H$5:$H$84,Data_Survival!$A$5:$A$84,"B2C",Data_Survival!$B$5:$B$84,$A52),B51*(1-Assumptions!$C$44))</f>
        <v/>
      </c>
      <c r="C52" s="35">
        <f>C51+B52</f>
        <v/>
      </c>
      <c r="D52" s="29">
        <f>C52*$E$22*$B$24</f>
        <v/>
      </c>
      <c r="E52" s="30">
        <f>IF($A52&lt;=Assumptions!$B$45,SUMIFS(Data_Survival!$H$5:$H$84,Data_Survival!$A$5:$A$84,"SMB",Data_Survival!$B$5:$B$84,$A52),E51*(1-Assumptions!$C$45))</f>
        <v/>
      </c>
      <c r="F52" s="35">
        <f>F51+E52</f>
        <v/>
      </c>
      <c r="G52" s="29">
        <f>F52*$F$22*$B$24</f>
        <v/>
      </c>
      <c r="H52" s="30">
        <f>IF($A52&lt;=Assumptions!$B$46,SUMIFS(Data_Survival!$H$5:$H$84,Data_Survival!$A$5:$A$84,"Enterprise",Data_Survival!$B$5:$B$84,$A52),H51*(1-Assumptions!$C$46))</f>
        <v/>
      </c>
      <c r="I52" s="35">
        <f>I51+H52</f>
        <v/>
      </c>
      <c r="J52" s="29">
        <f>I52*$G$22*$B$24</f>
        <v/>
      </c>
    </row>
    <row r="53">
      <c r="A53" s="12" t="n">
        <v>18</v>
      </c>
      <c r="B53" s="30">
        <f>IF($A53&lt;=Assumptions!$B$44,SUMIFS(Data_Survival!$H$5:$H$84,Data_Survival!$A$5:$A$84,"B2C",Data_Survival!$B$5:$B$84,$A53),B52*(1-Assumptions!$C$44))</f>
        <v/>
      </c>
      <c r="C53" s="35">
        <f>C52+B53</f>
        <v/>
      </c>
      <c r="D53" s="29">
        <f>C53*$E$22*$B$24</f>
        <v/>
      </c>
      <c r="E53" s="30">
        <f>IF($A53&lt;=Assumptions!$B$45,SUMIFS(Data_Survival!$H$5:$H$84,Data_Survival!$A$5:$A$84,"SMB",Data_Survival!$B$5:$B$84,$A53),E52*(1-Assumptions!$C$45))</f>
        <v/>
      </c>
      <c r="F53" s="35">
        <f>F52+E53</f>
        <v/>
      </c>
      <c r="G53" s="29">
        <f>F53*$F$22*$B$24</f>
        <v/>
      </c>
      <c r="H53" s="30">
        <f>IF($A53&lt;=Assumptions!$B$46,SUMIFS(Data_Survival!$H$5:$H$84,Data_Survival!$A$5:$A$84,"Enterprise",Data_Survival!$B$5:$B$84,$A53),H52*(1-Assumptions!$C$46))</f>
        <v/>
      </c>
      <c r="I53" s="35">
        <f>I52+H53</f>
        <v/>
      </c>
      <c r="J53" s="29">
        <f>I53*$G$22*$B$24</f>
        <v/>
      </c>
    </row>
    <row r="54">
      <c r="A54" s="12" t="n">
        <v>19</v>
      </c>
      <c r="B54" s="30">
        <f>IF($A54&lt;=Assumptions!$B$44,SUMIFS(Data_Survival!$H$5:$H$84,Data_Survival!$A$5:$A$84,"B2C",Data_Survival!$B$5:$B$84,$A54),B53*(1-Assumptions!$C$44))</f>
        <v/>
      </c>
      <c r="C54" s="35">
        <f>C53+B54</f>
        <v/>
      </c>
      <c r="D54" s="29">
        <f>C54*$E$22*$B$24</f>
        <v/>
      </c>
      <c r="E54" s="30">
        <f>IF($A54&lt;=Assumptions!$B$45,SUMIFS(Data_Survival!$H$5:$H$84,Data_Survival!$A$5:$A$84,"SMB",Data_Survival!$B$5:$B$84,$A54),E53*(1-Assumptions!$C$45))</f>
        <v/>
      </c>
      <c r="F54" s="35">
        <f>F53+E54</f>
        <v/>
      </c>
      <c r="G54" s="29">
        <f>F54*$F$22*$B$24</f>
        <v/>
      </c>
      <c r="H54" s="30">
        <f>IF($A54&lt;=Assumptions!$B$46,SUMIFS(Data_Survival!$H$5:$H$84,Data_Survival!$A$5:$A$84,"Enterprise",Data_Survival!$B$5:$B$84,$A54),H53*(1-Assumptions!$C$46))</f>
        <v/>
      </c>
      <c r="I54" s="35">
        <f>I53+H54</f>
        <v/>
      </c>
      <c r="J54" s="29">
        <f>I54*$G$22*$B$24</f>
        <v/>
      </c>
    </row>
    <row r="55">
      <c r="A55" s="12" t="n">
        <v>20</v>
      </c>
      <c r="B55" s="30">
        <f>IF($A55&lt;=Assumptions!$B$44,SUMIFS(Data_Survival!$H$5:$H$84,Data_Survival!$A$5:$A$84,"B2C",Data_Survival!$B$5:$B$84,$A55),B54*(1-Assumptions!$C$44))</f>
        <v/>
      </c>
      <c r="C55" s="35">
        <f>C54+B55</f>
        <v/>
      </c>
      <c r="D55" s="29">
        <f>C55*$E$22*$B$24</f>
        <v/>
      </c>
      <c r="E55" s="30">
        <f>IF($A55&lt;=Assumptions!$B$45,SUMIFS(Data_Survival!$H$5:$H$84,Data_Survival!$A$5:$A$84,"SMB",Data_Survival!$B$5:$B$84,$A55),E54*(1-Assumptions!$C$45))</f>
        <v/>
      </c>
      <c r="F55" s="35">
        <f>F54+E55</f>
        <v/>
      </c>
      <c r="G55" s="29">
        <f>F55*$F$22*$B$24</f>
        <v/>
      </c>
      <c r="H55" s="30">
        <f>IF($A55&lt;=Assumptions!$B$46,SUMIFS(Data_Survival!$H$5:$H$84,Data_Survival!$A$5:$A$84,"Enterprise",Data_Survival!$B$5:$B$84,$A55),H54*(1-Assumptions!$C$46))</f>
        <v/>
      </c>
      <c r="I55" s="35">
        <f>I54+H55</f>
        <v/>
      </c>
      <c r="J55" s="29">
        <f>I55*$G$22*$B$24</f>
        <v/>
      </c>
    </row>
    <row r="56">
      <c r="A56" s="12" t="n">
        <v>21</v>
      </c>
      <c r="B56" s="30">
        <f>IF($A56&lt;=Assumptions!$B$44,SUMIFS(Data_Survival!$H$5:$H$84,Data_Survival!$A$5:$A$84,"B2C",Data_Survival!$B$5:$B$84,$A56),B55*(1-Assumptions!$C$44))</f>
        <v/>
      </c>
      <c r="C56" s="35">
        <f>C55+B56</f>
        <v/>
      </c>
      <c r="D56" s="29">
        <f>C56*$E$22*$B$24</f>
        <v/>
      </c>
      <c r="E56" s="30">
        <f>IF($A56&lt;=Assumptions!$B$45,SUMIFS(Data_Survival!$H$5:$H$84,Data_Survival!$A$5:$A$84,"SMB",Data_Survival!$B$5:$B$84,$A56),E55*(1-Assumptions!$C$45))</f>
        <v/>
      </c>
      <c r="F56" s="35">
        <f>F55+E56</f>
        <v/>
      </c>
      <c r="G56" s="29">
        <f>F56*$F$22*$B$24</f>
        <v/>
      </c>
      <c r="H56" s="30">
        <f>IF($A56&lt;=Assumptions!$B$46,SUMIFS(Data_Survival!$H$5:$H$84,Data_Survival!$A$5:$A$84,"Enterprise",Data_Survival!$B$5:$B$84,$A56),H55*(1-Assumptions!$C$46))</f>
        <v/>
      </c>
      <c r="I56" s="35">
        <f>I55+H56</f>
        <v/>
      </c>
      <c r="J56" s="29">
        <f>I56*$G$22*$B$24</f>
        <v/>
      </c>
    </row>
    <row r="57">
      <c r="A57" s="12" t="n">
        <v>22</v>
      </c>
      <c r="B57" s="30">
        <f>IF($A57&lt;=Assumptions!$B$44,SUMIFS(Data_Survival!$H$5:$H$84,Data_Survival!$A$5:$A$84,"B2C",Data_Survival!$B$5:$B$84,$A57),B56*(1-Assumptions!$C$44))</f>
        <v/>
      </c>
      <c r="C57" s="35">
        <f>C56+B57</f>
        <v/>
      </c>
      <c r="D57" s="29">
        <f>C57*$E$22*$B$24</f>
        <v/>
      </c>
      <c r="E57" s="30">
        <f>IF($A57&lt;=Assumptions!$B$45,SUMIFS(Data_Survival!$H$5:$H$84,Data_Survival!$A$5:$A$84,"SMB",Data_Survival!$B$5:$B$84,$A57),E56*(1-Assumptions!$C$45))</f>
        <v/>
      </c>
      <c r="F57" s="35">
        <f>F56+E57</f>
        <v/>
      </c>
      <c r="G57" s="29">
        <f>F57*$F$22*$B$24</f>
        <v/>
      </c>
      <c r="H57" s="30">
        <f>IF($A57&lt;=Assumptions!$B$46,SUMIFS(Data_Survival!$H$5:$H$84,Data_Survival!$A$5:$A$84,"Enterprise",Data_Survival!$B$5:$B$84,$A57),H56*(1-Assumptions!$C$46))</f>
        <v/>
      </c>
      <c r="I57" s="35">
        <f>I56+H57</f>
        <v/>
      </c>
      <c r="J57" s="29">
        <f>I57*$G$22*$B$24</f>
        <v/>
      </c>
    </row>
    <row r="58">
      <c r="A58" s="12" t="n">
        <v>23</v>
      </c>
      <c r="B58" s="30">
        <f>IF($A58&lt;=Assumptions!$B$44,SUMIFS(Data_Survival!$H$5:$H$84,Data_Survival!$A$5:$A$84,"B2C",Data_Survival!$B$5:$B$84,$A58),B57*(1-Assumptions!$C$44))</f>
        <v/>
      </c>
      <c r="C58" s="35">
        <f>C57+B58</f>
        <v/>
      </c>
      <c r="D58" s="29">
        <f>C58*$E$22*$B$24</f>
        <v/>
      </c>
      <c r="E58" s="30">
        <f>IF($A58&lt;=Assumptions!$B$45,SUMIFS(Data_Survival!$H$5:$H$84,Data_Survival!$A$5:$A$84,"SMB",Data_Survival!$B$5:$B$84,$A58),E57*(1-Assumptions!$C$45))</f>
        <v/>
      </c>
      <c r="F58" s="35">
        <f>F57+E58</f>
        <v/>
      </c>
      <c r="G58" s="29">
        <f>F58*$F$22*$B$24</f>
        <v/>
      </c>
      <c r="H58" s="30">
        <f>IF($A58&lt;=Assumptions!$B$46,SUMIFS(Data_Survival!$H$5:$H$84,Data_Survival!$A$5:$A$84,"Enterprise",Data_Survival!$B$5:$B$84,$A58),H57*(1-Assumptions!$C$46))</f>
        <v/>
      </c>
      <c r="I58" s="35">
        <f>I57+H58</f>
        <v/>
      </c>
      <c r="J58" s="29">
        <f>I58*$G$22*$B$24</f>
        <v/>
      </c>
    </row>
    <row r="59">
      <c r="A59" s="12" t="n">
        <v>24</v>
      </c>
      <c r="B59" s="30">
        <f>IF($A59&lt;=Assumptions!$B$44,SUMIFS(Data_Survival!$H$5:$H$84,Data_Survival!$A$5:$A$84,"B2C",Data_Survival!$B$5:$B$84,$A59),B58*(1-Assumptions!$C$44))</f>
        <v/>
      </c>
      <c r="C59" s="35">
        <f>C58+B59</f>
        <v/>
      </c>
      <c r="D59" s="29">
        <f>C59*$E$22*$B$24</f>
        <v/>
      </c>
      <c r="E59" s="30">
        <f>IF($A59&lt;=Assumptions!$B$45,SUMIFS(Data_Survival!$H$5:$H$84,Data_Survival!$A$5:$A$84,"SMB",Data_Survival!$B$5:$B$84,$A59),E58*(1-Assumptions!$C$45))</f>
        <v/>
      </c>
      <c r="F59" s="35">
        <f>F58+E59</f>
        <v/>
      </c>
      <c r="G59" s="29">
        <f>F59*$F$22*$B$24</f>
        <v/>
      </c>
      <c r="H59" s="30">
        <f>IF($A59&lt;=Assumptions!$B$46,SUMIFS(Data_Survival!$H$5:$H$84,Data_Survival!$A$5:$A$84,"Enterprise",Data_Survival!$B$5:$B$84,$A59),H58*(1-Assumptions!$C$46))</f>
        <v/>
      </c>
      <c r="I59" s="35">
        <f>I58+H59</f>
        <v/>
      </c>
      <c r="J59" s="29">
        <f>I59*$G$22*$B$24</f>
        <v/>
      </c>
    </row>
    <row r="60">
      <c r="A60" s="12" t="n">
        <v>25</v>
      </c>
      <c r="B60" s="30">
        <f>IF($A60&lt;=Assumptions!$B$44,SUMIFS(Data_Survival!$H$5:$H$84,Data_Survival!$A$5:$A$84,"B2C",Data_Survival!$B$5:$B$84,$A60),B59*(1-Assumptions!$C$44))</f>
        <v/>
      </c>
      <c r="C60" s="35">
        <f>C59+B60</f>
        <v/>
      </c>
      <c r="D60" s="29">
        <f>C60*$E$22*$B$24</f>
        <v/>
      </c>
      <c r="E60" s="30">
        <f>IF($A60&lt;=Assumptions!$B$45,SUMIFS(Data_Survival!$H$5:$H$84,Data_Survival!$A$5:$A$84,"SMB",Data_Survival!$B$5:$B$84,$A60),E59*(1-Assumptions!$C$45))</f>
        <v/>
      </c>
      <c r="F60" s="35">
        <f>F59+E60</f>
        <v/>
      </c>
      <c r="G60" s="29">
        <f>F60*$F$22*$B$24</f>
        <v/>
      </c>
      <c r="H60" s="30">
        <f>IF($A60&lt;=Assumptions!$B$46,SUMIFS(Data_Survival!$H$5:$H$84,Data_Survival!$A$5:$A$84,"Enterprise",Data_Survival!$B$5:$B$84,$A60),H59*(1-Assumptions!$C$46))</f>
        <v/>
      </c>
      <c r="I60" s="35">
        <f>I59+H60</f>
        <v/>
      </c>
      <c r="J60" s="29">
        <f>I60*$G$22*$B$24</f>
        <v/>
      </c>
    </row>
    <row r="61">
      <c r="A61" s="12" t="n">
        <v>26</v>
      </c>
      <c r="B61" s="30">
        <f>IF($A61&lt;=Assumptions!$B$44,SUMIFS(Data_Survival!$H$5:$H$84,Data_Survival!$A$5:$A$84,"B2C",Data_Survival!$B$5:$B$84,$A61),B60*(1-Assumptions!$C$44))</f>
        <v/>
      </c>
      <c r="C61" s="35">
        <f>C60+B61</f>
        <v/>
      </c>
      <c r="D61" s="29">
        <f>C61*$E$22*$B$24</f>
        <v/>
      </c>
      <c r="E61" s="30">
        <f>IF($A61&lt;=Assumptions!$B$45,SUMIFS(Data_Survival!$H$5:$H$84,Data_Survival!$A$5:$A$84,"SMB",Data_Survival!$B$5:$B$84,$A61),E60*(1-Assumptions!$C$45))</f>
        <v/>
      </c>
      <c r="F61" s="35">
        <f>F60+E61</f>
        <v/>
      </c>
      <c r="G61" s="29">
        <f>F61*$F$22*$B$24</f>
        <v/>
      </c>
      <c r="H61" s="30">
        <f>IF($A61&lt;=Assumptions!$B$46,SUMIFS(Data_Survival!$H$5:$H$84,Data_Survival!$A$5:$A$84,"Enterprise",Data_Survival!$B$5:$B$84,$A61),H60*(1-Assumptions!$C$46))</f>
        <v/>
      </c>
      <c r="I61" s="35">
        <f>I60+H61</f>
        <v/>
      </c>
      <c r="J61" s="29">
        <f>I61*$G$22*$B$24</f>
        <v/>
      </c>
    </row>
    <row r="62">
      <c r="A62" s="12" t="n">
        <v>27</v>
      </c>
      <c r="B62" s="30">
        <f>IF($A62&lt;=Assumptions!$B$44,SUMIFS(Data_Survival!$H$5:$H$84,Data_Survival!$A$5:$A$84,"B2C",Data_Survival!$B$5:$B$84,$A62),B61*(1-Assumptions!$C$44))</f>
        <v/>
      </c>
      <c r="C62" s="35">
        <f>C61+B62</f>
        <v/>
      </c>
      <c r="D62" s="29">
        <f>C62*$E$22*$B$24</f>
        <v/>
      </c>
      <c r="E62" s="30">
        <f>IF($A62&lt;=Assumptions!$B$45,SUMIFS(Data_Survival!$H$5:$H$84,Data_Survival!$A$5:$A$84,"SMB",Data_Survival!$B$5:$B$84,$A62),E61*(1-Assumptions!$C$45))</f>
        <v/>
      </c>
      <c r="F62" s="35">
        <f>F61+E62</f>
        <v/>
      </c>
      <c r="G62" s="29">
        <f>F62*$F$22*$B$24</f>
        <v/>
      </c>
      <c r="H62" s="30">
        <f>IF($A62&lt;=Assumptions!$B$46,SUMIFS(Data_Survival!$H$5:$H$84,Data_Survival!$A$5:$A$84,"Enterprise",Data_Survival!$B$5:$B$84,$A62),H61*(1-Assumptions!$C$46))</f>
        <v/>
      </c>
      <c r="I62" s="35">
        <f>I61+H62</f>
        <v/>
      </c>
      <c r="J62" s="29">
        <f>I62*$G$22*$B$24</f>
        <v/>
      </c>
    </row>
    <row r="63">
      <c r="A63" s="12" t="n">
        <v>28</v>
      </c>
      <c r="B63" s="30">
        <f>IF($A63&lt;=Assumptions!$B$44,SUMIFS(Data_Survival!$H$5:$H$84,Data_Survival!$A$5:$A$84,"B2C",Data_Survival!$B$5:$B$84,$A63),B62*(1-Assumptions!$C$44))</f>
        <v/>
      </c>
      <c r="C63" s="35">
        <f>C62+B63</f>
        <v/>
      </c>
      <c r="D63" s="29">
        <f>C63*$E$22*$B$24</f>
        <v/>
      </c>
      <c r="E63" s="30">
        <f>IF($A63&lt;=Assumptions!$B$45,SUMIFS(Data_Survival!$H$5:$H$84,Data_Survival!$A$5:$A$84,"SMB",Data_Survival!$B$5:$B$84,$A63),E62*(1-Assumptions!$C$45))</f>
        <v/>
      </c>
      <c r="F63" s="35">
        <f>F62+E63</f>
        <v/>
      </c>
      <c r="G63" s="29">
        <f>F63*$F$22*$B$24</f>
        <v/>
      </c>
      <c r="H63" s="30">
        <f>IF($A63&lt;=Assumptions!$B$46,SUMIFS(Data_Survival!$H$5:$H$84,Data_Survival!$A$5:$A$84,"Enterprise",Data_Survival!$B$5:$B$84,$A63),H62*(1-Assumptions!$C$46))</f>
        <v/>
      </c>
      <c r="I63" s="35">
        <f>I62+H63</f>
        <v/>
      </c>
      <c r="J63" s="29">
        <f>I63*$G$22*$B$24</f>
        <v/>
      </c>
    </row>
    <row r="64">
      <c r="A64" s="12" t="n">
        <v>29</v>
      </c>
      <c r="B64" s="30">
        <f>IF($A64&lt;=Assumptions!$B$44,SUMIFS(Data_Survival!$H$5:$H$84,Data_Survival!$A$5:$A$84,"B2C",Data_Survival!$B$5:$B$84,$A64),B63*(1-Assumptions!$C$44))</f>
        <v/>
      </c>
      <c r="C64" s="35">
        <f>C63+B64</f>
        <v/>
      </c>
      <c r="D64" s="29">
        <f>C64*$E$22*$B$24</f>
        <v/>
      </c>
      <c r="E64" s="30">
        <f>IF($A64&lt;=Assumptions!$B$45,SUMIFS(Data_Survival!$H$5:$H$84,Data_Survival!$A$5:$A$84,"SMB",Data_Survival!$B$5:$B$84,$A64),E63*(1-Assumptions!$C$45))</f>
        <v/>
      </c>
      <c r="F64" s="35">
        <f>F63+E64</f>
        <v/>
      </c>
      <c r="G64" s="29">
        <f>F64*$F$22*$B$24</f>
        <v/>
      </c>
      <c r="H64" s="30">
        <f>IF($A64&lt;=Assumptions!$B$46,SUMIFS(Data_Survival!$H$5:$H$84,Data_Survival!$A$5:$A$84,"Enterprise",Data_Survival!$B$5:$B$84,$A64),H63*(1-Assumptions!$C$46))</f>
        <v/>
      </c>
      <c r="I64" s="35">
        <f>I63+H64</f>
        <v/>
      </c>
      <c r="J64" s="29">
        <f>I64*$G$22*$B$24</f>
        <v/>
      </c>
    </row>
    <row r="65">
      <c r="A65" s="12" t="n">
        <v>30</v>
      </c>
      <c r="B65" s="30">
        <f>IF($A65&lt;=Assumptions!$B$44,SUMIFS(Data_Survival!$H$5:$H$84,Data_Survival!$A$5:$A$84,"B2C",Data_Survival!$B$5:$B$84,$A65),B64*(1-Assumptions!$C$44))</f>
        <v/>
      </c>
      <c r="C65" s="35">
        <f>C64+B65</f>
        <v/>
      </c>
      <c r="D65" s="29">
        <f>C65*$E$22*$B$24</f>
        <v/>
      </c>
      <c r="E65" s="30">
        <f>IF($A65&lt;=Assumptions!$B$45,SUMIFS(Data_Survival!$H$5:$H$84,Data_Survival!$A$5:$A$84,"SMB",Data_Survival!$B$5:$B$84,$A65),E64*(1-Assumptions!$C$45))</f>
        <v/>
      </c>
      <c r="F65" s="35">
        <f>F64+E65</f>
        <v/>
      </c>
      <c r="G65" s="29">
        <f>F65*$F$22*$B$24</f>
        <v/>
      </c>
      <c r="H65" s="30">
        <f>IF($A65&lt;=Assumptions!$B$46,SUMIFS(Data_Survival!$H$5:$H$84,Data_Survival!$A$5:$A$84,"Enterprise",Data_Survival!$B$5:$B$84,$A65),H64*(1-Assumptions!$C$46))</f>
        <v/>
      </c>
      <c r="I65" s="35">
        <f>I64+H65</f>
        <v/>
      </c>
      <c r="J65" s="29">
        <f>I65*$G$22*$B$24</f>
        <v/>
      </c>
    </row>
    <row r="66">
      <c r="A66" s="12" t="n">
        <v>31</v>
      </c>
      <c r="B66" s="30">
        <f>IF($A66&lt;=Assumptions!$B$44,SUMIFS(Data_Survival!$H$5:$H$84,Data_Survival!$A$5:$A$84,"B2C",Data_Survival!$B$5:$B$84,$A66),B65*(1-Assumptions!$C$44))</f>
        <v/>
      </c>
      <c r="C66" s="35">
        <f>C65+B66</f>
        <v/>
      </c>
      <c r="D66" s="29">
        <f>C66*$E$22*$B$24</f>
        <v/>
      </c>
      <c r="E66" s="30">
        <f>IF($A66&lt;=Assumptions!$B$45,SUMIFS(Data_Survival!$H$5:$H$84,Data_Survival!$A$5:$A$84,"SMB",Data_Survival!$B$5:$B$84,$A66),E65*(1-Assumptions!$C$45))</f>
        <v/>
      </c>
      <c r="F66" s="35">
        <f>F65+E66</f>
        <v/>
      </c>
      <c r="G66" s="29">
        <f>F66*$F$22*$B$24</f>
        <v/>
      </c>
      <c r="H66" s="30">
        <f>IF($A66&lt;=Assumptions!$B$46,SUMIFS(Data_Survival!$H$5:$H$84,Data_Survival!$A$5:$A$84,"Enterprise",Data_Survival!$B$5:$B$84,$A66),H65*(1-Assumptions!$C$46))</f>
        <v/>
      </c>
      <c r="I66" s="35">
        <f>I65+H66</f>
        <v/>
      </c>
      <c r="J66" s="29">
        <f>I66*$G$22*$B$24</f>
        <v/>
      </c>
    </row>
    <row r="67">
      <c r="A67" s="12" t="n">
        <v>32</v>
      </c>
      <c r="B67" s="30">
        <f>IF($A67&lt;=Assumptions!$B$44,SUMIFS(Data_Survival!$H$5:$H$84,Data_Survival!$A$5:$A$84,"B2C",Data_Survival!$B$5:$B$84,$A67),B66*(1-Assumptions!$C$44))</f>
        <v/>
      </c>
      <c r="C67" s="35">
        <f>C66+B67</f>
        <v/>
      </c>
      <c r="D67" s="29">
        <f>C67*$E$22*$B$24</f>
        <v/>
      </c>
      <c r="E67" s="30">
        <f>IF($A67&lt;=Assumptions!$B$45,SUMIFS(Data_Survival!$H$5:$H$84,Data_Survival!$A$5:$A$84,"SMB",Data_Survival!$B$5:$B$84,$A67),E66*(1-Assumptions!$C$45))</f>
        <v/>
      </c>
      <c r="F67" s="35">
        <f>F66+E67</f>
        <v/>
      </c>
      <c r="G67" s="29">
        <f>F67*$F$22*$B$24</f>
        <v/>
      </c>
      <c r="H67" s="30">
        <f>IF($A67&lt;=Assumptions!$B$46,SUMIFS(Data_Survival!$H$5:$H$84,Data_Survival!$A$5:$A$84,"Enterprise",Data_Survival!$B$5:$B$84,$A67),H66*(1-Assumptions!$C$46))</f>
        <v/>
      </c>
      <c r="I67" s="35">
        <f>I66+H67</f>
        <v/>
      </c>
      <c r="J67" s="29">
        <f>I67*$G$22*$B$24</f>
        <v/>
      </c>
    </row>
    <row r="68">
      <c r="A68" s="12" t="n">
        <v>33</v>
      </c>
      <c r="B68" s="30">
        <f>IF($A68&lt;=Assumptions!$B$44,SUMIFS(Data_Survival!$H$5:$H$84,Data_Survival!$A$5:$A$84,"B2C",Data_Survival!$B$5:$B$84,$A68),B67*(1-Assumptions!$C$44))</f>
        <v/>
      </c>
      <c r="C68" s="35">
        <f>C67+B68</f>
        <v/>
      </c>
      <c r="D68" s="29">
        <f>C68*$E$22*$B$24</f>
        <v/>
      </c>
      <c r="E68" s="30">
        <f>IF($A68&lt;=Assumptions!$B$45,SUMIFS(Data_Survival!$H$5:$H$84,Data_Survival!$A$5:$A$84,"SMB",Data_Survival!$B$5:$B$84,$A68),E67*(1-Assumptions!$C$45))</f>
        <v/>
      </c>
      <c r="F68" s="35">
        <f>F67+E68</f>
        <v/>
      </c>
      <c r="G68" s="29">
        <f>F68*$F$22*$B$24</f>
        <v/>
      </c>
      <c r="H68" s="30">
        <f>IF($A68&lt;=Assumptions!$B$46,SUMIFS(Data_Survival!$H$5:$H$84,Data_Survival!$A$5:$A$84,"Enterprise",Data_Survival!$B$5:$B$84,$A68),H67*(1-Assumptions!$C$46))</f>
        <v/>
      </c>
      <c r="I68" s="35">
        <f>I67+H68</f>
        <v/>
      </c>
      <c r="J68" s="29">
        <f>I68*$G$22*$B$24</f>
        <v/>
      </c>
    </row>
    <row r="69">
      <c r="A69" s="12" t="n">
        <v>34</v>
      </c>
      <c r="B69" s="30">
        <f>IF($A69&lt;=Assumptions!$B$44,SUMIFS(Data_Survival!$H$5:$H$84,Data_Survival!$A$5:$A$84,"B2C",Data_Survival!$B$5:$B$84,$A69),B68*(1-Assumptions!$C$44))</f>
        <v/>
      </c>
      <c r="C69" s="35">
        <f>C68+B69</f>
        <v/>
      </c>
      <c r="D69" s="29">
        <f>C69*$E$22*$B$24</f>
        <v/>
      </c>
      <c r="E69" s="30">
        <f>IF($A69&lt;=Assumptions!$B$45,SUMIFS(Data_Survival!$H$5:$H$84,Data_Survival!$A$5:$A$84,"SMB",Data_Survival!$B$5:$B$84,$A69),E68*(1-Assumptions!$C$45))</f>
        <v/>
      </c>
      <c r="F69" s="35">
        <f>F68+E69</f>
        <v/>
      </c>
      <c r="G69" s="29">
        <f>F69*$F$22*$B$24</f>
        <v/>
      </c>
      <c r="H69" s="30">
        <f>IF($A69&lt;=Assumptions!$B$46,SUMIFS(Data_Survival!$H$5:$H$84,Data_Survival!$A$5:$A$84,"Enterprise",Data_Survival!$B$5:$B$84,$A69),H68*(1-Assumptions!$C$46))</f>
        <v/>
      </c>
      <c r="I69" s="35">
        <f>I68+H69</f>
        <v/>
      </c>
      <c r="J69" s="29">
        <f>I69*$G$22*$B$24</f>
        <v/>
      </c>
    </row>
    <row r="70">
      <c r="A70" s="12" t="n">
        <v>35</v>
      </c>
      <c r="B70" s="30">
        <f>IF($A70&lt;=Assumptions!$B$44,SUMIFS(Data_Survival!$H$5:$H$84,Data_Survival!$A$5:$A$84,"B2C",Data_Survival!$B$5:$B$84,$A70),B69*(1-Assumptions!$C$44))</f>
        <v/>
      </c>
      <c r="C70" s="35">
        <f>C69+B70</f>
        <v/>
      </c>
      <c r="D70" s="29">
        <f>C70*$E$22*$B$24</f>
        <v/>
      </c>
      <c r="E70" s="30">
        <f>IF($A70&lt;=Assumptions!$B$45,SUMIFS(Data_Survival!$H$5:$H$84,Data_Survival!$A$5:$A$84,"SMB",Data_Survival!$B$5:$B$84,$A70),E69*(1-Assumptions!$C$45))</f>
        <v/>
      </c>
      <c r="F70" s="35">
        <f>F69+E70</f>
        <v/>
      </c>
      <c r="G70" s="29">
        <f>F70*$F$22*$B$24</f>
        <v/>
      </c>
      <c r="H70" s="30">
        <f>IF($A70&lt;=Assumptions!$B$46,SUMIFS(Data_Survival!$H$5:$H$84,Data_Survival!$A$5:$A$84,"Enterprise",Data_Survival!$B$5:$B$84,$A70),H69*(1-Assumptions!$C$46))</f>
        <v/>
      </c>
      <c r="I70" s="35">
        <f>I69+H70</f>
        <v/>
      </c>
      <c r="J70" s="29">
        <f>I70*$G$22*$B$24</f>
        <v/>
      </c>
    </row>
    <row r="71">
      <c r="A71" s="12" t="n">
        <v>36</v>
      </c>
      <c r="B71" s="30">
        <f>IF($A71&lt;=Assumptions!$B$44,SUMIFS(Data_Survival!$H$5:$H$84,Data_Survival!$A$5:$A$84,"B2C",Data_Survival!$B$5:$B$84,$A71),B70*(1-Assumptions!$C$44))</f>
        <v/>
      </c>
      <c r="C71" s="35">
        <f>C70+B71</f>
        <v/>
      </c>
      <c r="D71" s="29">
        <f>C71*$E$22*$B$24</f>
        <v/>
      </c>
      <c r="E71" s="30">
        <f>IF($A71&lt;=Assumptions!$B$45,SUMIFS(Data_Survival!$H$5:$H$84,Data_Survival!$A$5:$A$84,"SMB",Data_Survival!$B$5:$B$84,$A71),E70*(1-Assumptions!$C$45))</f>
        <v/>
      </c>
      <c r="F71" s="35">
        <f>F70+E71</f>
        <v/>
      </c>
      <c r="G71" s="29">
        <f>F71*$F$22*$B$24</f>
        <v/>
      </c>
      <c r="H71" s="30">
        <f>IF($A71&lt;=Assumptions!$B$46,SUMIFS(Data_Survival!$H$5:$H$84,Data_Survival!$A$5:$A$84,"Enterprise",Data_Survival!$B$5:$B$84,$A71),H70*(1-Assumptions!$C$46))</f>
        <v/>
      </c>
      <c r="I71" s="35">
        <f>I70+H71</f>
        <v/>
      </c>
      <c r="J71" s="29">
        <f>I71*$G$22*$B$24</f>
        <v/>
      </c>
    </row>
    <row r="72">
      <c r="A72" s="12" t="n">
        <v>37</v>
      </c>
      <c r="B72" s="30">
        <f>IF($A72&lt;=Assumptions!$B$44,SUMIFS(Data_Survival!$H$5:$H$84,Data_Survival!$A$5:$A$84,"B2C",Data_Survival!$B$5:$B$84,$A72),B71*(1-Assumptions!$C$44))</f>
        <v/>
      </c>
      <c r="C72" s="35">
        <f>C71+B72</f>
        <v/>
      </c>
      <c r="D72" s="29">
        <f>C72*$E$22*$B$24</f>
        <v/>
      </c>
      <c r="E72" s="30">
        <f>IF($A72&lt;=Assumptions!$B$45,SUMIFS(Data_Survival!$H$5:$H$84,Data_Survival!$A$5:$A$84,"SMB",Data_Survival!$B$5:$B$84,$A72),E71*(1-Assumptions!$C$45))</f>
        <v/>
      </c>
      <c r="F72" s="35">
        <f>F71+E72</f>
        <v/>
      </c>
      <c r="G72" s="29">
        <f>F72*$F$22*$B$24</f>
        <v/>
      </c>
      <c r="H72" s="30">
        <f>IF($A72&lt;=Assumptions!$B$46,SUMIFS(Data_Survival!$H$5:$H$84,Data_Survival!$A$5:$A$84,"Enterprise",Data_Survival!$B$5:$B$84,$A72),H71*(1-Assumptions!$C$46))</f>
        <v/>
      </c>
      <c r="I72" s="35">
        <f>I71+H72</f>
        <v/>
      </c>
      <c r="J72" s="29">
        <f>I72*$G$22*$B$24</f>
        <v/>
      </c>
    </row>
    <row r="73">
      <c r="A73" s="12" t="n">
        <v>38</v>
      </c>
      <c r="B73" s="30">
        <f>IF($A73&lt;=Assumptions!$B$44,SUMIFS(Data_Survival!$H$5:$H$84,Data_Survival!$A$5:$A$84,"B2C",Data_Survival!$B$5:$B$84,$A73),B72*(1-Assumptions!$C$44))</f>
        <v/>
      </c>
      <c r="C73" s="35">
        <f>C72+B73</f>
        <v/>
      </c>
      <c r="D73" s="29">
        <f>C73*$E$22*$B$24</f>
        <v/>
      </c>
      <c r="E73" s="30">
        <f>IF($A73&lt;=Assumptions!$B$45,SUMIFS(Data_Survival!$H$5:$H$84,Data_Survival!$A$5:$A$84,"SMB",Data_Survival!$B$5:$B$84,$A73),E72*(1-Assumptions!$C$45))</f>
        <v/>
      </c>
      <c r="F73" s="35">
        <f>F72+E73</f>
        <v/>
      </c>
      <c r="G73" s="29">
        <f>F73*$F$22*$B$24</f>
        <v/>
      </c>
      <c r="H73" s="30">
        <f>IF($A73&lt;=Assumptions!$B$46,SUMIFS(Data_Survival!$H$5:$H$84,Data_Survival!$A$5:$A$84,"Enterprise",Data_Survival!$B$5:$B$84,$A73),H72*(1-Assumptions!$C$46))</f>
        <v/>
      </c>
      <c r="I73" s="35">
        <f>I72+H73</f>
        <v/>
      </c>
      <c r="J73" s="29">
        <f>I73*$G$22*$B$24</f>
        <v/>
      </c>
    </row>
    <row r="74">
      <c r="A74" s="12" t="n">
        <v>39</v>
      </c>
      <c r="B74" s="30">
        <f>IF($A74&lt;=Assumptions!$B$44,SUMIFS(Data_Survival!$H$5:$H$84,Data_Survival!$A$5:$A$84,"B2C",Data_Survival!$B$5:$B$84,$A74),B73*(1-Assumptions!$C$44))</f>
        <v/>
      </c>
      <c r="C74" s="35">
        <f>C73+B74</f>
        <v/>
      </c>
      <c r="D74" s="29">
        <f>C74*$E$22*$B$24</f>
        <v/>
      </c>
      <c r="E74" s="30">
        <f>IF($A74&lt;=Assumptions!$B$45,SUMIFS(Data_Survival!$H$5:$H$84,Data_Survival!$A$5:$A$84,"SMB",Data_Survival!$B$5:$B$84,$A74),E73*(1-Assumptions!$C$45))</f>
        <v/>
      </c>
      <c r="F74" s="35">
        <f>F73+E74</f>
        <v/>
      </c>
      <c r="G74" s="29">
        <f>F74*$F$22*$B$24</f>
        <v/>
      </c>
      <c r="H74" s="30">
        <f>IF($A74&lt;=Assumptions!$B$46,SUMIFS(Data_Survival!$H$5:$H$84,Data_Survival!$A$5:$A$84,"Enterprise",Data_Survival!$B$5:$B$84,$A74),H73*(1-Assumptions!$C$46))</f>
        <v/>
      </c>
      <c r="I74" s="35">
        <f>I73+H74</f>
        <v/>
      </c>
      <c r="J74" s="29">
        <f>I74*$G$22*$B$24</f>
        <v/>
      </c>
    </row>
    <row r="75">
      <c r="A75" s="12" t="n">
        <v>40</v>
      </c>
      <c r="B75" s="30">
        <f>IF($A75&lt;=Assumptions!$B$44,SUMIFS(Data_Survival!$H$5:$H$84,Data_Survival!$A$5:$A$84,"B2C",Data_Survival!$B$5:$B$84,$A75),B74*(1-Assumptions!$C$44))</f>
        <v/>
      </c>
      <c r="C75" s="35">
        <f>C74+B75</f>
        <v/>
      </c>
      <c r="D75" s="29">
        <f>C75*$E$22*$B$24</f>
        <v/>
      </c>
      <c r="E75" s="30">
        <f>IF($A75&lt;=Assumptions!$B$45,SUMIFS(Data_Survival!$H$5:$H$84,Data_Survival!$A$5:$A$84,"SMB",Data_Survival!$B$5:$B$84,$A75),E74*(1-Assumptions!$C$45))</f>
        <v/>
      </c>
      <c r="F75" s="35">
        <f>F74+E75</f>
        <v/>
      </c>
      <c r="G75" s="29">
        <f>F75*$F$22*$B$24</f>
        <v/>
      </c>
      <c r="H75" s="30">
        <f>IF($A75&lt;=Assumptions!$B$46,SUMIFS(Data_Survival!$H$5:$H$84,Data_Survival!$A$5:$A$84,"Enterprise",Data_Survival!$B$5:$B$84,$A75),H74*(1-Assumptions!$C$46))</f>
        <v/>
      </c>
      <c r="I75" s="35">
        <f>I74+H75</f>
        <v/>
      </c>
      <c r="J75" s="29">
        <f>I75*$G$22*$B$24</f>
        <v/>
      </c>
    </row>
    <row r="76">
      <c r="A76" s="12" t="n">
        <v>41</v>
      </c>
      <c r="B76" s="30">
        <f>IF($A76&lt;=Assumptions!$B$44,SUMIFS(Data_Survival!$H$5:$H$84,Data_Survival!$A$5:$A$84,"B2C",Data_Survival!$B$5:$B$84,$A76),B75*(1-Assumptions!$C$44))</f>
        <v/>
      </c>
      <c r="C76" s="35">
        <f>C75+B76</f>
        <v/>
      </c>
      <c r="D76" s="29">
        <f>C76*$E$22*$B$24</f>
        <v/>
      </c>
      <c r="E76" s="30">
        <f>IF($A76&lt;=Assumptions!$B$45,SUMIFS(Data_Survival!$H$5:$H$84,Data_Survival!$A$5:$A$84,"SMB",Data_Survival!$B$5:$B$84,$A76),E75*(1-Assumptions!$C$45))</f>
        <v/>
      </c>
      <c r="F76" s="35">
        <f>F75+E76</f>
        <v/>
      </c>
      <c r="G76" s="29">
        <f>F76*$F$22*$B$24</f>
        <v/>
      </c>
      <c r="H76" s="30">
        <f>IF($A76&lt;=Assumptions!$B$46,SUMIFS(Data_Survival!$H$5:$H$84,Data_Survival!$A$5:$A$84,"Enterprise",Data_Survival!$B$5:$B$84,$A76),H75*(1-Assumptions!$C$46))</f>
        <v/>
      </c>
      <c r="I76" s="35">
        <f>I75+H76</f>
        <v/>
      </c>
      <c r="J76" s="29">
        <f>I76*$G$22*$B$24</f>
        <v/>
      </c>
    </row>
    <row r="77">
      <c r="A77" s="12" t="n">
        <v>42</v>
      </c>
      <c r="B77" s="30">
        <f>IF($A77&lt;=Assumptions!$B$44,SUMIFS(Data_Survival!$H$5:$H$84,Data_Survival!$A$5:$A$84,"B2C",Data_Survival!$B$5:$B$84,$A77),B76*(1-Assumptions!$C$44))</f>
        <v/>
      </c>
      <c r="C77" s="35">
        <f>C76+B77</f>
        <v/>
      </c>
      <c r="D77" s="29">
        <f>C77*$E$22*$B$24</f>
        <v/>
      </c>
      <c r="E77" s="30">
        <f>IF($A77&lt;=Assumptions!$B$45,SUMIFS(Data_Survival!$H$5:$H$84,Data_Survival!$A$5:$A$84,"SMB",Data_Survival!$B$5:$B$84,$A77),E76*(1-Assumptions!$C$45))</f>
        <v/>
      </c>
      <c r="F77" s="35">
        <f>F76+E77</f>
        <v/>
      </c>
      <c r="G77" s="29">
        <f>F77*$F$22*$B$24</f>
        <v/>
      </c>
      <c r="H77" s="30">
        <f>IF($A77&lt;=Assumptions!$B$46,SUMIFS(Data_Survival!$H$5:$H$84,Data_Survival!$A$5:$A$84,"Enterprise",Data_Survival!$B$5:$B$84,$A77),H76*(1-Assumptions!$C$46))</f>
        <v/>
      </c>
      <c r="I77" s="35">
        <f>I76+H77</f>
        <v/>
      </c>
      <c r="J77" s="29">
        <f>I77*$G$22*$B$24</f>
        <v/>
      </c>
    </row>
    <row r="78">
      <c r="A78" s="12" t="n">
        <v>43</v>
      </c>
      <c r="B78" s="30">
        <f>IF($A78&lt;=Assumptions!$B$44,SUMIFS(Data_Survival!$H$5:$H$84,Data_Survival!$A$5:$A$84,"B2C",Data_Survival!$B$5:$B$84,$A78),B77*(1-Assumptions!$C$44))</f>
        <v/>
      </c>
      <c r="C78" s="35">
        <f>C77+B78</f>
        <v/>
      </c>
      <c r="D78" s="29">
        <f>C78*$E$22*$B$24</f>
        <v/>
      </c>
      <c r="E78" s="30">
        <f>IF($A78&lt;=Assumptions!$B$45,SUMIFS(Data_Survival!$H$5:$H$84,Data_Survival!$A$5:$A$84,"SMB",Data_Survival!$B$5:$B$84,$A78),E77*(1-Assumptions!$C$45))</f>
        <v/>
      </c>
      <c r="F78" s="35">
        <f>F77+E78</f>
        <v/>
      </c>
      <c r="G78" s="29">
        <f>F78*$F$22*$B$24</f>
        <v/>
      </c>
      <c r="H78" s="30">
        <f>IF($A78&lt;=Assumptions!$B$46,SUMIFS(Data_Survival!$H$5:$H$84,Data_Survival!$A$5:$A$84,"Enterprise",Data_Survival!$B$5:$B$84,$A78),H77*(1-Assumptions!$C$46))</f>
        <v/>
      </c>
      <c r="I78" s="35">
        <f>I77+H78</f>
        <v/>
      </c>
      <c r="J78" s="29">
        <f>I78*$G$22*$B$24</f>
        <v/>
      </c>
    </row>
    <row r="79">
      <c r="A79" s="12" t="n">
        <v>44</v>
      </c>
      <c r="B79" s="30">
        <f>IF($A79&lt;=Assumptions!$B$44,SUMIFS(Data_Survival!$H$5:$H$84,Data_Survival!$A$5:$A$84,"B2C",Data_Survival!$B$5:$B$84,$A79),B78*(1-Assumptions!$C$44))</f>
        <v/>
      </c>
      <c r="C79" s="35">
        <f>C78+B79</f>
        <v/>
      </c>
      <c r="D79" s="29">
        <f>C79*$E$22*$B$24</f>
        <v/>
      </c>
      <c r="E79" s="30">
        <f>IF($A79&lt;=Assumptions!$B$45,SUMIFS(Data_Survival!$H$5:$H$84,Data_Survival!$A$5:$A$84,"SMB",Data_Survival!$B$5:$B$84,$A79),E78*(1-Assumptions!$C$45))</f>
        <v/>
      </c>
      <c r="F79" s="35">
        <f>F78+E79</f>
        <v/>
      </c>
      <c r="G79" s="29">
        <f>F79*$F$22*$B$24</f>
        <v/>
      </c>
      <c r="H79" s="30">
        <f>IF($A79&lt;=Assumptions!$B$46,SUMIFS(Data_Survival!$H$5:$H$84,Data_Survival!$A$5:$A$84,"Enterprise",Data_Survival!$B$5:$B$84,$A79),H78*(1-Assumptions!$C$46))</f>
        <v/>
      </c>
      <c r="I79" s="35">
        <f>I78+H79</f>
        <v/>
      </c>
      <c r="J79" s="29">
        <f>I79*$G$22*$B$24</f>
        <v/>
      </c>
    </row>
    <row r="80">
      <c r="A80" s="12" t="n">
        <v>45</v>
      </c>
      <c r="B80" s="30">
        <f>IF($A80&lt;=Assumptions!$B$44,SUMIFS(Data_Survival!$H$5:$H$84,Data_Survival!$A$5:$A$84,"B2C",Data_Survival!$B$5:$B$84,$A80),B79*(1-Assumptions!$C$44))</f>
        <v/>
      </c>
      <c r="C80" s="35">
        <f>C79+B80</f>
        <v/>
      </c>
      <c r="D80" s="29">
        <f>C80*$E$22*$B$24</f>
        <v/>
      </c>
      <c r="E80" s="30">
        <f>IF($A80&lt;=Assumptions!$B$45,SUMIFS(Data_Survival!$H$5:$H$84,Data_Survival!$A$5:$A$84,"SMB",Data_Survival!$B$5:$B$84,$A80),E79*(1-Assumptions!$C$45))</f>
        <v/>
      </c>
      <c r="F80" s="35">
        <f>F79+E80</f>
        <v/>
      </c>
      <c r="G80" s="29">
        <f>F80*$F$22*$B$24</f>
        <v/>
      </c>
      <c r="H80" s="30">
        <f>IF($A80&lt;=Assumptions!$B$46,SUMIFS(Data_Survival!$H$5:$H$84,Data_Survival!$A$5:$A$84,"Enterprise",Data_Survival!$B$5:$B$84,$A80),H79*(1-Assumptions!$C$46))</f>
        <v/>
      </c>
      <c r="I80" s="35">
        <f>I79+H80</f>
        <v/>
      </c>
      <c r="J80" s="29">
        <f>I80*$G$22*$B$24</f>
        <v/>
      </c>
    </row>
    <row r="81">
      <c r="A81" s="12" t="n">
        <v>46</v>
      </c>
      <c r="B81" s="30">
        <f>IF($A81&lt;=Assumptions!$B$44,SUMIFS(Data_Survival!$H$5:$H$84,Data_Survival!$A$5:$A$84,"B2C",Data_Survival!$B$5:$B$84,$A81),B80*(1-Assumptions!$C$44))</f>
        <v/>
      </c>
      <c r="C81" s="35">
        <f>C80+B81</f>
        <v/>
      </c>
      <c r="D81" s="29">
        <f>C81*$E$22*$B$24</f>
        <v/>
      </c>
      <c r="E81" s="30">
        <f>IF($A81&lt;=Assumptions!$B$45,SUMIFS(Data_Survival!$H$5:$H$84,Data_Survival!$A$5:$A$84,"SMB",Data_Survival!$B$5:$B$84,$A81),E80*(1-Assumptions!$C$45))</f>
        <v/>
      </c>
      <c r="F81" s="35">
        <f>F80+E81</f>
        <v/>
      </c>
      <c r="G81" s="29">
        <f>F81*$F$22*$B$24</f>
        <v/>
      </c>
      <c r="H81" s="30">
        <f>IF($A81&lt;=Assumptions!$B$46,SUMIFS(Data_Survival!$H$5:$H$84,Data_Survival!$A$5:$A$84,"Enterprise",Data_Survival!$B$5:$B$84,$A81),H80*(1-Assumptions!$C$46))</f>
        <v/>
      </c>
      <c r="I81" s="35">
        <f>I80+H81</f>
        <v/>
      </c>
      <c r="J81" s="29">
        <f>I81*$G$22*$B$24</f>
        <v/>
      </c>
    </row>
    <row r="82">
      <c r="A82" s="12" t="n">
        <v>47</v>
      </c>
      <c r="B82" s="30">
        <f>IF($A82&lt;=Assumptions!$B$44,SUMIFS(Data_Survival!$H$5:$H$84,Data_Survival!$A$5:$A$84,"B2C",Data_Survival!$B$5:$B$84,$A82),B81*(1-Assumptions!$C$44))</f>
        <v/>
      </c>
      <c r="C82" s="35">
        <f>C81+B82</f>
        <v/>
      </c>
      <c r="D82" s="29">
        <f>C82*$E$22*$B$24</f>
        <v/>
      </c>
      <c r="E82" s="30">
        <f>IF($A82&lt;=Assumptions!$B$45,SUMIFS(Data_Survival!$H$5:$H$84,Data_Survival!$A$5:$A$84,"SMB",Data_Survival!$B$5:$B$84,$A82),E81*(1-Assumptions!$C$45))</f>
        <v/>
      </c>
      <c r="F82" s="35">
        <f>F81+E82</f>
        <v/>
      </c>
      <c r="G82" s="29">
        <f>F82*$F$22*$B$24</f>
        <v/>
      </c>
      <c r="H82" s="30">
        <f>IF($A82&lt;=Assumptions!$B$46,SUMIFS(Data_Survival!$H$5:$H$84,Data_Survival!$A$5:$A$84,"Enterprise",Data_Survival!$B$5:$B$84,$A82),H81*(1-Assumptions!$C$46))</f>
        <v/>
      </c>
      <c r="I82" s="35">
        <f>I81+H82</f>
        <v/>
      </c>
      <c r="J82" s="29">
        <f>I82*$G$22*$B$24</f>
        <v/>
      </c>
    </row>
    <row r="83">
      <c r="A83" s="12" t="n">
        <v>48</v>
      </c>
      <c r="B83" s="30">
        <f>IF($A83&lt;=Assumptions!$B$44,SUMIFS(Data_Survival!$H$5:$H$84,Data_Survival!$A$5:$A$84,"B2C",Data_Survival!$B$5:$B$84,$A83),B82*(1-Assumptions!$C$44))</f>
        <v/>
      </c>
      <c r="C83" s="35">
        <f>C82+B83</f>
        <v/>
      </c>
      <c r="D83" s="29">
        <f>C83*$E$22*$B$24</f>
        <v/>
      </c>
      <c r="E83" s="30">
        <f>IF($A83&lt;=Assumptions!$B$45,SUMIFS(Data_Survival!$H$5:$H$84,Data_Survival!$A$5:$A$84,"SMB",Data_Survival!$B$5:$B$84,$A83),E82*(1-Assumptions!$C$45))</f>
        <v/>
      </c>
      <c r="F83" s="35">
        <f>F82+E83</f>
        <v/>
      </c>
      <c r="G83" s="29">
        <f>F83*$F$22*$B$24</f>
        <v/>
      </c>
      <c r="H83" s="30">
        <f>IF($A83&lt;=Assumptions!$B$46,SUMIFS(Data_Survival!$H$5:$H$84,Data_Survival!$A$5:$A$84,"Enterprise",Data_Survival!$B$5:$B$84,$A83),H82*(1-Assumptions!$C$46))</f>
        <v/>
      </c>
      <c r="I83" s="35">
        <f>I82+H83</f>
        <v/>
      </c>
      <c r="J83" s="29">
        <f>I83*$G$22*$B$24</f>
        <v/>
      </c>
    </row>
    <row r="84">
      <c r="A84" s="12" t="n">
        <v>49</v>
      </c>
      <c r="B84" s="30">
        <f>IF($A84&lt;=Assumptions!$B$44,SUMIFS(Data_Survival!$H$5:$H$84,Data_Survival!$A$5:$A$84,"B2C",Data_Survival!$B$5:$B$84,$A84),B83*(1-Assumptions!$C$44))</f>
        <v/>
      </c>
      <c r="C84" s="35">
        <f>C83+B84</f>
        <v/>
      </c>
      <c r="D84" s="29">
        <f>C84*$E$22*$B$24</f>
        <v/>
      </c>
      <c r="E84" s="30">
        <f>IF($A84&lt;=Assumptions!$B$45,SUMIFS(Data_Survival!$H$5:$H$84,Data_Survival!$A$5:$A$84,"SMB",Data_Survival!$B$5:$B$84,$A84),E83*(1-Assumptions!$C$45))</f>
        <v/>
      </c>
      <c r="F84" s="35">
        <f>F83+E84</f>
        <v/>
      </c>
      <c r="G84" s="29">
        <f>F84*$F$22*$B$24</f>
        <v/>
      </c>
      <c r="H84" s="30">
        <f>IF($A84&lt;=Assumptions!$B$46,SUMIFS(Data_Survival!$H$5:$H$84,Data_Survival!$A$5:$A$84,"Enterprise",Data_Survival!$B$5:$B$84,$A84),H83*(1-Assumptions!$C$46))</f>
        <v/>
      </c>
      <c r="I84" s="35">
        <f>I83+H84</f>
        <v/>
      </c>
      <c r="J84" s="29">
        <f>I84*$G$22*$B$24</f>
        <v/>
      </c>
    </row>
    <row r="85">
      <c r="A85" s="12" t="n">
        <v>50</v>
      </c>
      <c r="B85" s="30">
        <f>IF($A85&lt;=Assumptions!$B$44,SUMIFS(Data_Survival!$H$5:$H$84,Data_Survival!$A$5:$A$84,"B2C",Data_Survival!$B$5:$B$84,$A85),B84*(1-Assumptions!$C$44))</f>
        <v/>
      </c>
      <c r="C85" s="35">
        <f>C84+B85</f>
        <v/>
      </c>
      <c r="D85" s="29">
        <f>C85*$E$22*$B$24</f>
        <v/>
      </c>
      <c r="E85" s="30">
        <f>IF($A85&lt;=Assumptions!$B$45,SUMIFS(Data_Survival!$H$5:$H$84,Data_Survival!$A$5:$A$84,"SMB",Data_Survival!$B$5:$B$84,$A85),E84*(1-Assumptions!$C$45))</f>
        <v/>
      </c>
      <c r="F85" s="35">
        <f>F84+E85</f>
        <v/>
      </c>
      <c r="G85" s="29">
        <f>F85*$F$22*$B$24</f>
        <v/>
      </c>
      <c r="H85" s="30">
        <f>IF($A85&lt;=Assumptions!$B$46,SUMIFS(Data_Survival!$H$5:$H$84,Data_Survival!$A$5:$A$84,"Enterprise",Data_Survival!$B$5:$B$84,$A85),H84*(1-Assumptions!$C$46))</f>
        <v/>
      </c>
      <c r="I85" s="35">
        <f>I84+H85</f>
        <v/>
      </c>
      <c r="J85" s="29">
        <f>I85*$G$22*$B$24</f>
        <v/>
      </c>
    </row>
    <row r="86">
      <c r="A86" s="12" t="n">
        <v>51</v>
      </c>
      <c r="B86" s="30">
        <f>IF($A86&lt;=Assumptions!$B$44,SUMIFS(Data_Survival!$H$5:$H$84,Data_Survival!$A$5:$A$84,"B2C",Data_Survival!$B$5:$B$84,$A86),B85*(1-Assumptions!$C$44))</f>
        <v/>
      </c>
      <c r="C86" s="35">
        <f>C85+B86</f>
        <v/>
      </c>
      <c r="D86" s="29">
        <f>C86*$E$22*$B$24</f>
        <v/>
      </c>
      <c r="E86" s="30">
        <f>IF($A86&lt;=Assumptions!$B$45,SUMIFS(Data_Survival!$H$5:$H$84,Data_Survival!$A$5:$A$84,"SMB",Data_Survival!$B$5:$B$84,$A86),E85*(1-Assumptions!$C$45))</f>
        <v/>
      </c>
      <c r="F86" s="35">
        <f>F85+E86</f>
        <v/>
      </c>
      <c r="G86" s="29">
        <f>F86*$F$22*$B$24</f>
        <v/>
      </c>
      <c r="H86" s="30">
        <f>IF($A86&lt;=Assumptions!$B$46,SUMIFS(Data_Survival!$H$5:$H$84,Data_Survival!$A$5:$A$84,"Enterprise",Data_Survival!$B$5:$B$84,$A86),H85*(1-Assumptions!$C$46))</f>
        <v/>
      </c>
      <c r="I86" s="35">
        <f>I85+H86</f>
        <v/>
      </c>
      <c r="J86" s="29">
        <f>I86*$G$22*$B$24</f>
        <v/>
      </c>
    </row>
    <row r="87">
      <c r="A87" s="12" t="n">
        <v>52</v>
      </c>
      <c r="B87" s="30">
        <f>IF($A87&lt;=Assumptions!$B$44,SUMIFS(Data_Survival!$H$5:$H$84,Data_Survival!$A$5:$A$84,"B2C",Data_Survival!$B$5:$B$84,$A87),B86*(1-Assumptions!$C$44))</f>
        <v/>
      </c>
      <c r="C87" s="35">
        <f>C86+B87</f>
        <v/>
      </c>
      <c r="D87" s="29">
        <f>C87*$E$22*$B$24</f>
        <v/>
      </c>
      <c r="E87" s="30">
        <f>IF($A87&lt;=Assumptions!$B$45,SUMIFS(Data_Survival!$H$5:$H$84,Data_Survival!$A$5:$A$84,"SMB",Data_Survival!$B$5:$B$84,$A87),E86*(1-Assumptions!$C$45))</f>
        <v/>
      </c>
      <c r="F87" s="35">
        <f>F86+E87</f>
        <v/>
      </c>
      <c r="G87" s="29">
        <f>F87*$F$22*$B$24</f>
        <v/>
      </c>
      <c r="H87" s="30">
        <f>IF($A87&lt;=Assumptions!$B$46,SUMIFS(Data_Survival!$H$5:$H$84,Data_Survival!$A$5:$A$84,"Enterprise",Data_Survival!$B$5:$B$84,$A87),H86*(1-Assumptions!$C$46))</f>
        <v/>
      </c>
      <c r="I87" s="35">
        <f>I86+H87</f>
        <v/>
      </c>
      <c r="J87" s="29">
        <f>I87*$G$22*$B$24</f>
        <v/>
      </c>
    </row>
    <row r="88">
      <c r="A88" s="12" t="n">
        <v>53</v>
      </c>
      <c r="B88" s="30">
        <f>IF($A88&lt;=Assumptions!$B$44,SUMIFS(Data_Survival!$H$5:$H$84,Data_Survival!$A$5:$A$84,"B2C",Data_Survival!$B$5:$B$84,$A88),B87*(1-Assumptions!$C$44))</f>
        <v/>
      </c>
      <c r="C88" s="35">
        <f>C87+B88</f>
        <v/>
      </c>
      <c r="D88" s="29">
        <f>C88*$E$22*$B$24</f>
        <v/>
      </c>
      <c r="E88" s="30">
        <f>IF($A88&lt;=Assumptions!$B$45,SUMIFS(Data_Survival!$H$5:$H$84,Data_Survival!$A$5:$A$84,"SMB",Data_Survival!$B$5:$B$84,$A88),E87*(1-Assumptions!$C$45))</f>
        <v/>
      </c>
      <c r="F88" s="35">
        <f>F87+E88</f>
        <v/>
      </c>
      <c r="G88" s="29">
        <f>F88*$F$22*$B$24</f>
        <v/>
      </c>
      <c r="H88" s="30">
        <f>IF($A88&lt;=Assumptions!$B$46,SUMIFS(Data_Survival!$H$5:$H$84,Data_Survival!$A$5:$A$84,"Enterprise",Data_Survival!$B$5:$B$84,$A88),H87*(1-Assumptions!$C$46))</f>
        <v/>
      </c>
      <c r="I88" s="35">
        <f>I87+H88</f>
        <v/>
      </c>
      <c r="J88" s="29">
        <f>I88*$G$22*$B$24</f>
        <v/>
      </c>
    </row>
    <row r="89">
      <c r="A89" s="12" t="n">
        <v>54</v>
      </c>
      <c r="B89" s="30">
        <f>IF($A89&lt;=Assumptions!$B$44,SUMIFS(Data_Survival!$H$5:$H$84,Data_Survival!$A$5:$A$84,"B2C",Data_Survival!$B$5:$B$84,$A89),B88*(1-Assumptions!$C$44))</f>
        <v/>
      </c>
      <c r="C89" s="35">
        <f>C88+B89</f>
        <v/>
      </c>
      <c r="D89" s="29">
        <f>C89*$E$22*$B$24</f>
        <v/>
      </c>
      <c r="E89" s="30">
        <f>IF($A89&lt;=Assumptions!$B$45,SUMIFS(Data_Survival!$H$5:$H$84,Data_Survival!$A$5:$A$84,"SMB",Data_Survival!$B$5:$B$84,$A89),E88*(1-Assumptions!$C$45))</f>
        <v/>
      </c>
      <c r="F89" s="35">
        <f>F88+E89</f>
        <v/>
      </c>
      <c r="G89" s="29">
        <f>F89*$F$22*$B$24</f>
        <v/>
      </c>
      <c r="H89" s="30">
        <f>IF($A89&lt;=Assumptions!$B$46,SUMIFS(Data_Survival!$H$5:$H$84,Data_Survival!$A$5:$A$84,"Enterprise",Data_Survival!$B$5:$B$84,$A89),H88*(1-Assumptions!$C$46))</f>
        <v/>
      </c>
      <c r="I89" s="35">
        <f>I88+H89</f>
        <v/>
      </c>
      <c r="J89" s="29">
        <f>I89*$G$22*$B$24</f>
        <v/>
      </c>
    </row>
    <row r="90">
      <c r="A90" s="12" t="n">
        <v>55</v>
      </c>
      <c r="B90" s="30">
        <f>IF($A90&lt;=Assumptions!$B$44,SUMIFS(Data_Survival!$H$5:$H$84,Data_Survival!$A$5:$A$84,"B2C",Data_Survival!$B$5:$B$84,$A90),B89*(1-Assumptions!$C$44))</f>
        <v/>
      </c>
      <c r="C90" s="35">
        <f>C89+B90</f>
        <v/>
      </c>
      <c r="D90" s="29">
        <f>C90*$E$22*$B$24</f>
        <v/>
      </c>
      <c r="E90" s="30">
        <f>IF($A90&lt;=Assumptions!$B$45,SUMIFS(Data_Survival!$H$5:$H$84,Data_Survival!$A$5:$A$84,"SMB",Data_Survival!$B$5:$B$84,$A90),E89*(1-Assumptions!$C$45))</f>
        <v/>
      </c>
      <c r="F90" s="35">
        <f>F89+E90</f>
        <v/>
      </c>
      <c r="G90" s="29">
        <f>F90*$F$22*$B$24</f>
        <v/>
      </c>
      <c r="H90" s="30">
        <f>IF($A90&lt;=Assumptions!$B$46,SUMIFS(Data_Survival!$H$5:$H$84,Data_Survival!$A$5:$A$84,"Enterprise",Data_Survival!$B$5:$B$84,$A90),H89*(1-Assumptions!$C$46))</f>
        <v/>
      </c>
      <c r="I90" s="35">
        <f>I89+H90</f>
        <v/>
      </c>
      <c r="J90" s="29">
        <f>I90*$G$22*$B$24</f>
        <v/>
      </c>
    </row>
    <row r="91">
      <c r="A91" s="12" t="n">
        <v>56</v>
      </c>
      <c r="B91" s="30">
        <f>IF($A91&lt;=Assumptions!$B$44,SUMIFS(Data_Survival!$H$5:$H$84,Data_Survival!$A$5:$A$84,"B2C",Data_Survival!$B$5:$B$84,$A91),B90*(1-Assumptions!$C$44))</f>
        <v/>
      </c>
      <c r="C91" s="35">
        <f>C90+B91</f>
        <v/>
      </c>
      <c r="D91" s="29">
        <f>C91*$E$22*$B$24</f>
        <v/>
      </c>
      <c r="E91" s="30">
        <f>IF($A91&lt;=Assumptions!$B$45,SUMIFS(Data_Survival!$H$5:$H$84,Data_Survival!$A$5:$A$84,"SMB",Data_Survival!$B$5:$B$84,$A91),E90*(1-Assumptions!$C$45))</f>
        <v/>
      </c>
      <c r="F91" s="35">
        <f>F90+E91</f>
        <v/>
      </c>
      <c r="G91" s="29">
        <f>F91*$F$22*$B$24</f>
        <v/>
      </c>
      <c r="H91" s="30">
        <f>IF($A91&lt;=Assumptions!$B$46,SUMIFS(Data_Survival!$H$5:$H$84,Data_Survival!$A$5:$A$84,"Enterprise",Data_Survival!$B$5:$B$84,$A91),H90*(1-Assumptions!$C$46))</f>
        <v/>
      </c>
      <c r="I91" s="35">
        <f>I90+H91</f>
        <v/>
      </c>
      <c r="J91" s="29">
        <f>I91*$G$22*$B$24</f>
        <v/>
      </c>
    </row>
    <row r="92">
      <c r="A92" s="12" t="n">
        <v>57</v>
      </c>
      <c r="B92" s="30">
        <f>IF($A92&lt;=Assumptions!$B$44,SUMIFS(Data_Survival!$H$5:$H$84,Data_Survival!$A$5:$A$84,"B2C",Data_Survival!$B$5:$B$84,$A92),B91*(1-Assumptions!$C$44))</f>
        <v/>
      </c>
      <c r="C92" s="35">
        <f>C91+B92</f>
        <v/>
      </c>
      <c r="D92" s="29">
        <f>C92*$E$22*$B$24</f>
        <v/>
      </c>
      <c r="E92" s="30">
        <f>IF($A92&lt;=Assumptions!$B$45,SUMIFS(Data_Survival!$H$5:$H$84,Data_Survival!$A$5:$A$84,"SMB",Data_Survival!$B$5:$B$84,$A92),E91*(1-Assumptions!$C$45))</f>
        <v/>
      </c>
      <c r="F92" s="35">
        <f>F91+E92</f>
        <v/>
      </c>
      <c r="G92" s="29">
        <f>F92*$F$22*$B$24</f>
        <v/>
      </c>
      <c r="H92" s="30">
        <f>IF($A92&lt;=Assumptions!$B$46,SUMIFS(Data_Survival!$H$5:$H$84,Data_Survival!$A$5:$A$84,"Enterprise",Data_Survival!$B$5:$B$84,$A92),H91*(1-Assumptions!$C$46))</f>
        <v/>
      </c>
      <c r="I92" s="35">
        <f>I91+H92</f>
        <v/>
      </c>
      <c r="J92" s="29">
        <f>I92*$G$22*$B$24</f>
        <v/>
      </c>
    </row>
    <row r="93">
      <c r="A93" s="12" t="n">
        <v>58</v>
      </c>
      <c r="B93" s="30">
        <f>IF($A93&lt;=Assumptions!$B$44,SUMIFS(Data_Survival!$H$5:$H$84,Data_Survival!$A$5:$A$84,"B2C",Data_Survival!$B$5:$B$84,$A93),B92*(1-Assumptions!$C$44))</f>
        <v/>
      </c>
      <c r="C93" s="35">
        <f>C92+B93</f>
        <v/>
      </c>
      <c r="D93" s="29">
        <f>C93*$E$22*$B$24</f>
        <v/>
      </c>
      <c r="E93" s="30">
        <f>IF($A93&lt;=Assumptions!$B$45,SUMIFS(Data_Survival!$H$5:$H$84,Data_Survival!$A$5:$A$84,"SMB",Data_Survival!$B$5:$B$84,$A93),E92*(1-Assumptions!$C$45))</f>
        <v/>
      </c>
      <c r="F93" s="35">
        <f>F92+E93</f>
        <v/>
      </c>
      <c r="G93" s="29">
        <f>F93*$F$22*$B$24</f>
        <v/>
      </c>
      <c r="H93" s="30">
        <f>IF($A93&lt;=Assumptions!$B$46,SUMIFS(Data_Survival!$H$5:$H$84,Data_Survival!$A$5:$A$84,"Enterprise",Data_Survival!$B$5:$B$84,$A93),H92*(1-Assumptions!$C$46))</f>
        <v/>
      </c>
      <c r="I93" s="35">
        <f>I92+H93</f>
        <v/>
      </c>
      <c r="J93" s="29">
        <f>I93*$G$22*$B$24</f>
        <v/>
      </c>
    </row>
    <row r="94">
      <c r="A94" s="12" t="n">
        <v>59</v>
      </c>
      <c r="B94" s="30">
        <f>IF($A94&lt;=Assumptions!$B$44,SUMIFS(Data_Survival!$H$5:$H$84,Data_Survival!$A$5:$A$84,"B2C",Data_Survival!$B$5:$B$84,$A94),B93*(1-Assumptions!$C$44))</f>
        <v/>
      </c>
      <c r="C94" s="35">
        <f>C93+B94</f>
        <v/>
      </c>
      <c r="D94" s="29">
        <f>C94*$E$22*$B$24</f>
        <v/>
      </c>
      <c r="E94" s="30">
        <f>IF($A94&lt;=Assumptions!$B$45,SUMIFS(Data_Survival!$H$5:$H$84,Data_Survival!$A$5:$A$84,"SMB",Data_Survival!$B$5:$B$84,$A94),E93*(1-Assumptions!$C$45))</f>
        <v/>
      </c>
      <c r="F94" s="35">
        <f>F93+E94</f>
        <v/>
      </c>
      <c r="G94" s="29">
        <f>F94*$F$22*$B$24</f>
        <v/>
      </c>
      <c r="H94" s="30">
        <f>IF($A94&lt;=Assumptions!$B$46,SUMIFS(Data_Survival!$H$5:$H$84,Data_Survival!$A$5:$A$84,"Enterprise",Data_Survival!$B$5:$B$84,$A94),H93*(1-Assumptions!$C$46))</f>
        <v/>
      </c>
      <c r="I94" s="35">
        <f>I93+H94</f>
        <v/>
      </c>
      <c r="J94" s="29">
        <f>I94*$G$22*$B$24</f>
        <v/>
      </c>
    </row>
    <row r="96">
      <c r="A96" s="3" t="inlineStr">
        <is>
          <t>CAC payback &amp; retention-adjusted payback (M-15; resolves the WP40 open issue -- computed on the full extrapolated 60-month curve, not just the observed horizon)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6" t="inlineStr">
        <is>
          <t>Segment</t>
        </is>
      </c>
      <c r="B97" s="6" t="inlineStr">
        <is>
          <t>CAC payback = CAC / (ARPA x GM%), months</t>
        </is>
      </c>
      <c r="C97" s="6" t="inlineStr">
        <is>
          <t>Retention-adjusted payback (first month cum. gross profit/customer &gt;= CAC; '&gt; 60' if never)</t>
        </is>
      </c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</row>
    <row r="98">
      <c r="A98" s="5" t="inlineStr">
        <is>
          <t>B2C</t>
        </is>
      </c>
      <c r="B98" s="33">
        <f>H28/(J28*K28)</f>
        <v/>
      </c>
      <c r="C98" s="5">
        <f>IF(SUMPRODUCT((D35:D94&lt;$H$28)*1)=60,"&gt; 60",SUMPRODUCT((D35:D94&lt;$H$28)*1)+1)</f>
        <v/>
      </c>
    </row>
    <row r="99">
      <c r="A99" s="5" t="inlineStr">
        <is>
          <t>SMB</t>
        </is>
      </c>
      <c r="B99" s="33">
        <f>H29/(J29*K29)</f>
        <v/>
      </c>
      <c r="C99" s="5">
        <f>IF(SUMPRODUCT((G35:G94&lt;$H$29)*1)=60,"&gt; 60",SUMPRODUCT((G35:G94&lt;$H$29)*1)+1)</f>
        <v/>
      </c>
    </row>
    <row r="100">
      <c r="A100" s="5" t="inlineStr">
        <is>
          <t>Enterprise</t>
        </is>
      </c>
      <c r="B100" s="33">
        <f>H30/(J30*K30)</f>
        <v/>
      </c>
      <c r="C100" s="5">
        <f>IF(SUMPRODUCT((J35:J94&lt;$H$30)*1)=60,"&gt; 60",SUMPRODUCT((J35:J94&lt;$H$30)*1)+1)</f>
        <v/>
      </c>
    </row>
    <row r="101">
      <c r="A101" s="7" t="inlineStr">
        <is>
          <t>Total</t>
        </is>
      </c>
      <c r="B101" s="33">
        <f>H31/(J31*K31)</f>
        <v/>
      </c>
      <c r="C101" s="5">
        <f>"n/a (company blend)"</f>
        <v/>
      </c>
    </row>
    <row r="103">
      <c r="A103" s="3" t="inlineStr">
        <is>
          <t>Sensitivity grid: LTV by GM basis x lifetime cap (36 / 60 months) -- formulas only, no data tables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6" t="inlineStr">
        <is>
          <t>Segment</t>
        </is>
      </c>
      <c r="B104" s="6" t="inlineStr">
        <is>
          <t>T6M avg GM% x 36mo cap</t>
        </is>
      </c>
      <c r="C104" s="6" t="inlineStr">
        <is>
          <t>T6M avg GM% x 60mo cap</t>
        </is>
      </c>
      <c r="D104" s="6" t="inlineStr">
        <is>
          <t>Apr-24 run-rate GM% x 36mo cap</t>
        </is>
      </c>
      <c r="E104" s="6" t="inlineStr">
        <is>
          <t>Apr-24 run-rate GM% x 60mo cap</t>
        </is>
      </c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</row>
    <row r="105">
      <c r="A105" s="5" t="inlineStr">
        <is>
          <t>B2C</t>
        </is>
      </c>
      <c r="B105" s="29">
        <f>$E$22*$D$20*C70</f>
        <v/>
      </c>
      <c r="C105" s="29">
        <f>$E$22*$D$20*C94</f>
        <v/>
      </c>
      <c r="D105" s="29">
        <f>$E$22*$D$21*C70</f>
        <v/>
      </c>
      <c r="E105" s="29">
        <f>$E$22*$D$21*C94</f>
        <v/>
      </c>
    </row>
    <row r="106">
      <c r="A106" s="5" t="inlineStr">
        <is>
          <t>SMB</t>
        </is>
      </c>
      <c r="B106" s="29">
        <f>$F$22*$D$20*F70</f>
        <v/>
      </c>
      <c r="C106" s="29">
        <f>$F$22*$D$20*F94</f>
        <v/>
      </c>
      <c r="D106" s="29">
        <f>$F$22*$D$21*F70</f>
        <v/>
      </c>
      <c r="E106" s="29">
        <f>$F$22*$D$21*F94</f>
        <v/>
      </c>
    </row>
    <row r="107">
      <c r="A107" s="5" t="inlineStr">
        <is>
          <t>Enterprise</t>
        </is>
      </c>
      <c r="B107" s="29">
        <f>$G$22*$D$20*I70</f>
        <v/>
      </c>
      <c r="C107" s="29">
        <f>$G$22*$D$20*I94</f>
        <v/>
      </c>
      <c r="D107" s="29">
        <f>$G$22*$D$21*I70</f>
        <v/>
      </c>
      <c r="E107" s="29">
        <f>$G$22*$D$21*I94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Scenarios</t>
        </is>
      </c>
    </row>
    <row r="2">
      <c r="A2" s="2" t="inlineStr">
        <is>
          <t>A simplified, formula-driven 12-month (May-24..Apr-25) projection by segment, in three parallel Base/Bull/Bear blocks (no selector needed -- all three are always computed). Simplification vs. the Python engine (sql/python_models/scenarios.py): this sheet tracks ONE bucket per segment (not per plan_type), blends monthly/annual rates using the Apr-24 stock mix (churn) and the T6M new-customer plan mix (ARPA) held constant for the whole horizon, and does not model the B2C monthly-&gt;annual migration lever. See the reconciliation block at the bottom (target &lt;= 3% gap on Apr-25 total MRR).</t>
        </is>
      </c>
    </row>
    <row r="4">
      <c r="A4" s="3" t="inlineStr">
        <is>
          <t>Blended driver build (per segment): stock-mix-weighted churn, new-customer-mix ARPA blend, and the Base/Bull/Bear variant of each rate -- all linked to Assumptions (no hard-coded numbers)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6" t="inlineStr">
        <is>
          <t>Segment</t>
        </is>
      </c>
      <c r="B5" s="6" t="inlineStr">
        <is>
          <t>Stock share, monthly (Apr-24)</t>
        </is>
      </c>
      <c r="C5" s="6" t="inlineStr">
        <is>
          <t>Stock share, annual (Apr-24)</t>
        </is>
      </c>
      <c r="D5" s="6" t="inlineStr">
        <is>
          <t>Churn blend, Base</t>
        </is>
      </c>
      <c r="E5" s="6" t="inlineStr">
        <is>
          <t>Churn blend, Bull</t>
        </is>
      </c>
      <c r="F5" s="6" t="inlineStr">
        <is>
          <t>Churn blend, Bear</t>
        </is>
      </c>
      <c r="G5" s="6" t="inlineStr">
        <is>
          <t>New-cust ARPA blend</t>
        </is>
      </c>
      <c r="H5" s="6" t="inlineStr">
        <is>
          <t>Expansion, Base</t>
        </is>
      </c>
      <c r="I5" s="6" t="inlineStr">
        <is>
          <t>Expansion, Bull</t>
        </is>
      </c>
      <c r="J5" s="6" t="inlineStr">
        <is>
          <t>Expansion, Bear</t>
        </is>
      </c>
      <c r="K5" s="6" t="inlineStr">
        <is>
          <t>Contraction, Base</t>
        </is>
      </c>
      <c r="L5" s="6" t="inlineStr">
        <is>
          <t>Contraction, Bull</t>
        </is>
      </c>
      <c r="M5" s="6" t="inlineStr">
        <is>
          <t>Contraction, Bear</t>
        </is>
      </c>
      <c r="N5" s="6" t="inlineStr">
        <is>
          <t>New customers/mo, Base</t>
        </is>
      </c>
      <c r="O5" s="6" t="inlineStr">
        <is>
          <t>Trend slope/mo (Bull)</t>
        </is>
      </c>
    </row>
    <row r="6">
      <c r="A6" s="5" t="inlineStr">
        <is>
          <t>B2C</t>
        </is>
      </c>
      <c r="B6" s="30">
        <f>SUMIFS(Assumptions!$C$29:$C$34,Assumptions!$A$29:$A$34,"B2C",Assumptions!$B$29:$B$34,"monthly")/(SUMIFS(Assumptions!$C$29:$C$34,Assumptions!$A$29:$A$34,"B2C",Assumptions!$B$29:$B$34,"monthly")+SUMIFS(Assumptions!$C$29:$C$34,Assumptions!$A$29:$A$34,"B2C",Assumptions!$B$29:$B$34,"annual"))</f>
        <v/>
      </c>
      <c r="C6" s="30">
        <f>1-B6</f>
        <v/>
      </c>
      <c r="D6" s="30">
        <f>B6*Assumptions!$B$57+C6*Assumptions!$B$58</f>
        <v/>
      </c>
      <c r="E6" s="30">
        <f>B6*Assumptions!$B$57*(1-Assumptions!$B$71)+C6*Assumptions!$B$58</f>
        <v/>
      </c>
      <c r="F6" s="30">
        <f>D6*(1+Assumptions!$B$65)</f>
        <v/>
      </c>
      <c r="G6" s="29">
        <f>Assumptions!$B$55*Assumptions!$B$53+Assumptions!$B$56*Assumptions!$B$54</f>
        <v/>
      </c>
      <c r="H6" s="36">
        <f>Assumptions!$B$59</f>
        <v/>
      </c>
      <c r="I6" s="36">
        <f>Assumptions!$B$59</f>
        <v/>
      </c>
      <c r="J6" s="36">
        <f>Assumptions!$B$59</f>
        <v/>
      </c>
      <c r="K6" s="36">
        <f>Assumptions!$B$60</f>
        <v/>
      </c>
      <c r="L6" s="36">
        <f>Assumptions!$B$60</f>
        <v/>
      </c>
      <c r="M6" s="36">
        <f>Assumptions!$B$60</f>
        <v/>
      </c>
      <c r="N6" s="33">
        <f>Assumptions!$B$51</f>
        <v/>
      </c>
      <c r="O6" s="35">
        <f>Assumptions!$B$52</f>
        <v/>
      </c>
    </row>
    <row r="7">
      <c r="A7" s="5" t="inlineStr">
        <is>
          <t>SMB</t>
        </is>
      </c>
      <c r="B7" s="30">
        <f>SUMIFS(Assumptions!$C$29:$C$34,Assumptions!$A$29:$A$34,"SMB",Assumptions!$B$29:$B$34,"monthly")/(SUMIFS(Assumptions!$C$29:$C$34,Assumptions!$A$29:$A$34,"SMB",Assumptions!$B$29:$B$34,"monthly")+SUMIFS(Assumptions!$C$29:$C$34,Assumptions!$A$29:$A$34,"SMB",Assumptions!$B$29:$B$34,"annual"))</f>
        <v/>
      </c>
      <c r="C7" s="30">
        <f>1-B7</f>
        <v/>
      </c>
      <c r="D7" s="30">
        <f>B7*Assumptions!$C$57+C7*Assumptions!$C$58</f>
        <v/>
      </c>
      <c r="E7" s="30">
        <f>B7*Assumptions!$C$57*(1-Assumptions!$B$71)+C7*Assumptions!$C$58</f>
        <v/>
      </c>
      <c r="F7" s="30">
        <f>D7*(1+Assumptions!$B$65)</f>
        <v/>
      </c>
      <c r="G7" s="29">
        <f>Assumptions!$C$55*Assumptions!$C$53+Assumptions!$C$56*Assumptions!$C$54</f>
        <v/>
      </c>
      <c r="H7" s="36">
        <f>Assumptions!$C$59</f>
        <v/>
      </c>
      <c r="I7" s="36">
        <f>Assumptions!$C$59*(1+Assumptions!$B$73)</f>
        <v/>
      </c>
      <c r="J7" s="36">
        <f>Assumptions!$C$59*Assumptions!$B$66</f>
        <v/>
      </c>
      <c r="K7" s="36">
        <f>Assumptions!$C$60</f>
        <v/>
      </c>
      <c r="L7" s="36">
        <f>Assumptions!$C$60</f>
        <v/>
      </c>
      <c r="M7" s="36">
        <f>Assumptions!$C$60</f>
        <v/>
      </c>
      <c r="N7" s="33">
        <f>Assumptions!$C$51</f>
        <v/>
      </c>
      <c r="O7" s="35">
        <f>Assumptions!$C$52</f>
        <v/>
      </c>
    </row>
    <row r="8">
      <c r="A8" s="5" t="inlineStr">
        <is>
          <t>Enterprise</t>
        </is>
      </c>
      <c r="B8" s="30">
        <f>SUMIFS(Assumptions!$C$29:$C$34,Assumptions!$A$29:$A$34,"Enterprise",Assumptions!$B$29:$B$34,"monthly")/(SUMIFS(Assumptions!$C$29:$C$34,Assumptions!$A$29:$A$34,"Enterprise",Assumptions!$B$29:$B$34,"monthly")+SUMIFS(Assumptions!$C$29:$C$34,Assumptions!$A$29:$A$34,"Enterprise",Assumptions!$B$29:$B$34,"annual"))</f>
        <v/>
      </c>
      <c r="C8" s="30">
        <f>1-B8</f>
        <v/>
      </c>
      <c r="D8" s="30">
        <f>B8*Assumptions!$D$57+C8*Assumptions!$D$58</f>
        <v/>
      </c>
      <c r="E8" s="30">
        <f>B8*Assumptions!$D$57*(1-Assumptions!$B$71)+C8*Assumptions!$D$58</f>
        <v/>
      </c>
      <c r="F8" s="30">
        <f>D8*(1+Assumptions!$B$65)</f>
        <v/>
      </c>
      <c r="G8" s="29">
        <f>Assumptions!$D$55*Assumptions!$D$53+Assumptions!$D$56*Assumptions!$D$54</f>
        <v/>
      </c>
      <c r="H8" s="36">
        <f>Assumptions!$D$59</f>
        <v/>
      </c>
      <c r="I8" s="36">
        <f>Assumptions!$D$59</f>
        <v/>
      </c>
      <c r="J8" s="36">
        <f>Assumptions!$D$59*Assumptions!$B$67</f>
        <v/>
      </c>
      <c r="K8" s="36">
        <f>Assumptions!$D$60</f>
        <v/>
      </c>
      <c r="L8" s="36">
        <f>Assumptions!$D$60*(1-Assumptions!$B$74)</f>
        <v/>
      </c>
      <c r="M8" s="36">
        <f>Assumptions!$D$60</f>
        <v/>
      </c>
      <c r="N8" s="33">
        <f>Assumptions!$D$51</f>
        <v/>
      </c>
      <c r="O8" s="35">
        <f>Assumptions!$D$52</f>
        <v/>
      </c>
    </row>
    <row r="10">
      <c r="A10" s="3" t="inlineStr">
        <is>
          <t>Scenario: Base -- 12-month projection by segment (May-24..Apr-25)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7" t="inlineStr">
        <is>
          <t>Base / B2C</t>
        </is>
      </c>
    </row>
    <row r="12">
      <c r="A12" s="6" t="inlineStr">
        <is>
          <t>Month #</t>
        </is>
      </c>
      <c r="B12" s="6" t="inlineStr">
        <is>
          <t>Opening customers</t>
        </is>
      </c>
      <c r="C12" s="6" t="inlineStr">
        <is>
          <t>New customers</t>
        </is>
      </c>
      <c r="D12" s="6" t="inlineStr">
        <is>
          <t>Churn customers</t>
        </is>
      </c>
      <c r="E12" s="6" t="inlineStr">
        <is>
          <t>Closing customers</t>
        </is>
      </c>
      <c r="F12" s="6" t="inlineStr">
        <is>
          <t>Opening MRR</t>
        </is>
      </c>
      <c r="G12" s="6" t="inlineStr">
        <is>
          <t>New MRR</t>
        </is>
      </c>
      <c r="H12" s="6" t="inlineStr">
        <is>
          <t>Expansion MRR</t>
        </is>
      </c>
      <c r="I12" s="6" t="inlineStr">
        <is>
          <t>Contraction MRR</t>
        </is>
      </c>
      <c r="J12" s="6" t="inlineStr">
        <is>
          <t>Churn MRR</t>
        </is>
      </c>
      <c r="K12" s="6" t="inlineStr">
        <is>
          <t>Closing MRR</t>
        </is>
      </c>
    </row>
    <row r="13">
      <c r="A13" s="12" t="n">
        <v>1</v>
      </c>
      <c r="B13" s="37">
        <f>SUMIFS(Data_MRR!$I:$I,Data_MRR!$B:$B,"B2C",Data_MRR!$A:$A,Assumptions!$B$10)</f>
        <v/>
      </c>
      <c r="C13" s="33">
        <f>$N$6</f>
        <v/>
      </c>
      <c r="D13" s="33">
        <f>B13*$D$6</f>
        <v/>
      </c>
      <c r="E13" s="33">
        <f>B13-D13+C13</f>
        <v/>
      </c>
      <c r="F13" s="15">
        <f>SUMIFS(Data_MRR!$H:$H,Data_MRR!$B:$B,"B2C",Data_MRR!$A:$A,Assumptions!$B$10)</f>
        <v/>
      </c>
      <c r="G13" s="29">
        <f>C13*$G$6</f>
        <v/>
      </c>
      <c r="H13" s="29">
        <f>F13*$H$6</f>
        <v/>
      </c>
      <c r="I13" s="29">
        <f>F13*$K$6</f>
        <v/>
      </c>
      <c r="J13" s="29">
        <f>F13*$D$6</f>
        <v/>
      </c>
      <c r="K13" s="29">
        <f>F13-J13+G13+H13-I13</f>
        <v/>
      </c>
    </row>
    <row r="14">
      <c r="A14" s="12" t="n">
        <v>2</v>
      </c>
      <c r="B14" s="33">
        <f>E13</f>
        <v/>
      </c>
      <c r="C14" s="33">
        <f>$N$6</f>
        <v/>
      </c>
      <c r="D14" s="33">
        <f>B14*$D$6</f>
        <v/>
      </c>
      <c r="E14" s="33">
        <f>B14-D14+C14</f>
        <v/>
      </c>
      <c r="F14" s="29">
        <f>K13</f>
        <v/>
      </c>
      <c r="G14" s="29">
        <f>C14*$G$6</f>
        <v/>
      </c>
      <c r="H14" s="29">
        <f>F14*$H$6</f>
        <v/>
      </c>
      <c r="I14" s="29">
        <f>F14*$K$6</f>
        <v/>
      </c>
      <c r="J14" s="29">
        <f>F14*$D$6</f>
        <v/>
      </c>
      <c r="K14" s="29">
        <f>F14-J14+G14+H14-I14</f>
        <v/>
      </c>
    </row>
    <row r="15">
      <c r="A15" s="12" t="n">
        <v>3</v>
      </c>
      <c r="B15" s="33">
        <f>E14</f>
        <v/>
      </c>
      <c r="C15" s="33">
        <f>$N$6</f>
        <v/>
      </c>
      <c r="D15" s="33">
        <f>B15*$D$6</f>
        <v/>
      </c>
      <c r="E15" s="33">
        <f>B15-D15+C15</f>
        <v/>
      </c>
      <c r="F15" s="29">
        <f>K14</f>
        <v/>
      </c>
      <c r="G15" s="29">
        <f>C15*$G$6</f>
        <v/>
      </c>
      <c r="H15" s="29">
        <f>F15*$H$6</f>
        <v/>
      </c>
      <c r="I15" s="29">
        <f>F15*$K$6</f>
        <v/>
      </c>
      <c r="J15" s="29">
        <f>F15*$D$6</f>
        <v/>
      </c>
      <c r="K15" s="29">
        <f>F15-J15+G15+H15-I15</f>
        <v/>
      </c>
    </row>
    <row r="16">
      <c r="A16" s="12" t="n">
        <v>4</v>
      </c>
      <c r="B16" s="33">
        <f>E15</f>
        <v/>
      </c>
      <c r="C16" s="33">
        <f>$N$6</f>
        <v/>
      </c>
      <c r="D16" s="33">
        <f>B16*$D$6</f>
        <v/>
      </c>
      <c r="E16" s="33">
        <f>B16-D16+C16</f>
        <v/>
      </c>
      <c r="F16" s="29">
        <f>K15</f>
        <v/>
      </c>
      <c r="G16" s="29">
        <f>C16*$G$6</f>
        <v/>
      </c>
      <c r="H16" s="29">
        <f>F16*$H$6</f>
        <v/>
      </c>
      <c r="I16" s="29">
        <f>F16*$K$6</f>
        <v/>
      </c>
      <c r="J16" s="29">
        <f>F16*$D$6</f>
        <v/>
      </c>
      <c r="K16" s="29">
        <f>F16-J16+G16+H16-I16</f>
        <v/>
      </c>
    </row>
    <row r="17">
      <c r="A17" s="12" t="n">
        <v>5</v>
      </c>
      <c r="B17" s="33">
        <f>E16</f>
        <v/>
      </c>
      <c r="C17" s="33">
        <f>$N$6</f>
        <v/>
      </c>
      <c r="D17" s="33">
        <f>B17*$D$6</f>
        <v/>
      </c>
      <c r="E17" s="33">
        <f>B17-D17+C17</f>
        <v/>
      </c>
      <c r="F17" s="29">
        <f>K16</f>
        <v/>
      </c>
      <c r="G17" s="29">
        <f>C17*$G$6</f>
        <v/>
      </c>
      <c r="H17" s="29">
        <f>F17*$H$6</f>
        <v/>
      </c>
      <c r="I17" s="29">
        <f>F17*$K$6</f>
        <v/>
      </c>
      <c r="J17" s="29">
        <f>F17*$D$6</f>
        <v/>
      </c>
      <c r="K17" s="29">
        <f>F17-J17+G17+H17-I17</f>
        <v/>
      </c>
    </row>
    <row r="18">
      <c r="A18" s="12" t="n">
        <v>6</v>
      </c>
      <c r="B18" s="33">
        <f>E17</f>
        <v/>
      </c>
      <c r="C18" s="33">
        <f>$N$6</f>
        <v/>
      </c>
      <c r="D18" s="33">
        <f>B18*$D$6</f>
        <v/>
      </c>
      <c r="E18" s="33">
        <f>B18-D18+C18</f>
        <v/>
      </c>
      <c r="F18" s="29">
        <f>K17</f>
        <v/>
      </c>
      <c r="G18" s="29">
        <f>C18*$G$6</f>
        <v/>
      </c>
      <c r="H18" s="29">
        <f>F18*$H$6</f>
        <v/>
      </c>
      <c r="I18" s="29">
        <f>F18*$K$6</f>
        <v/>
      </c>
      <c r="J18" s="29">
        <f>F18*$D$6</f>
        <v/>
      </c>
      <c r="K18" s="29">
        <f>F18-J18+G18+H18-I18</f>
        <v/>
      </c>
    </row>
    <row r="19">
      <c r="A19" s="12" t="n">
        <v>7</v>
      </c>
      <c r="B19" s="33">
        <f>E18</f>
        <v/>
      </c>
      <c r="C19" s="33">
        <f>$N$6</f>
        <v/>
      </c>
      <c r="D19" s="33">
        <f>B19*$D$6</f>
        <v/>
      </c>
      <c r="E19" s="33">
        <f>B19-D19+C19</f>
        <v/>
      </c>
      <c r="F19" s="29">
        <f>K18</f>
        <v/>
      </c>
      <c r="G19" s="29">
        <f>C19*$G$6</f>
        <v/>
      </c>
      <c r="H19" s="29">
        <f>F19*$H$6</f>
        <v/>
      </c>
      <c r="I19" s="29">
        <f>F19*$K$6</f>
        <v/>
      </c>
      <c r="J19" s="29">
        <f>F19*$D$6</f>
        <v/>
      </c>
      <c r="K19" s="29">
        <f>F19-J19+G19+H19-I19</f>
        <v/>
      </c>
    </row>
    <row r="20">
      <c r="A20" s="12" t="n">
        <v>8</v>
      </c>
      <c r="B20" s="33">
        <f>E19</f>
        <v/>
      </c>
      <c r="C20" s="33">
        <f>$N$6</f>
        <v/>
      </c>
      <c r="D20" s="33">
        <f>B20*$D$6</f>
        <v/>
      </c>
      <c r="E20" s="33">
        <f>B20-D20+C20</f>
        <v/>
      </c>
      <c r="F20" s="29">
        <f>K19</f>
        <v/>
      </c>
      <c r="G20" s="29">
        <f>C20*$G$6</f>
        <v/>
      </c>
      <c r="H20" s="29">
        <f>F20*$H$6</f>
        <v/>
      </c>
      <c r="I20" s="29">
        <f>F20*$K$6</f>
        <v/>
      </c>
      <c r="J20" s="29">
        <f>F20*$D$6</f>
        <v/>
      </c>
      <c r="K20" s="29">
        <f>F20-J20+G20+H20-I20</f>
        <v/>
      </c>
    </row>
    <row r="21">
      <c r="A21" s="12" t="n">
        <v>9</v>
      </c>
      <c r="B21" s="33">
        <f>E20</f>
        <v/>
      </c>
      <c r="C21" s="33">
        <f>$N$6</f>
        <v/>
      </c>
      <c r="D21" s="33">
        <f>B21*$D$6</f>
        <v/>
      </c>
      <c r="E21" s="33">
        <f>B21-D21+C21</f>
        <v/>
      </c>
      <c r="F21" s="29">
        <f>K20</f>
        <v/>
      </c>
      <c r="G21" s="29">
        <f>C21*$G$6</f>
        <v/>
      </c>
      <c r="H21" s="29">
        <f>F21*$H$6</f>
        <v/>
      </c>
      <c r="I21" s="29">
        <f>F21*$K$6</f>
        <v/>
      </c>
      <c r="J21" s="29">
        <f>F21*$D$6</f>
        <v/>
      </c>
      <c r="K21" s="29">
        <f>F21-J21+G21+H21-I21</f>
        <v/>
      </c>
    </row>
    <row r="22">
      <c r="A22" s="12" t="n">
        <v>10</v>
      </c>
      <c r="B22" s="33">
        <f>E21</f>
        <v/>
      </c>
      <c r="C22" s="33">
        <f>$N$6</f>
        <v/>
      </c>
      <c r="D22" s="33">
        <f>B22*$D$6</f>
        <v/>
      </c>
      <c r="E22" s="33">
        <f>B22-D22+C22</f>
        <v/>
      </c>
      <c r="F22" s="29">
        <f>K21</f>
        <v/>
      </c>
      <c r="G22" s="29">
        <f>C22*$G$6</f>
        <v/>
      </c>
      <c r="H22" s="29">
        <f>F22*$H$6</f>
        <v/>
      </c>
      <c r="I22" s="29">
        <f>F22*$K$6</f>
        <v/>
      </c>
      <c r="J22" s="29">
        <f>F22*$D$6</f>
        <v/>
      </c>
      <c r="K22" s="29">
        <f>F22-J22+G22+H22-I22</f>
        <v/>
      </c>
    </row>
    <row r="23">
      <c r="A23" s="12" t="n">
        <v>11</v>
      </c>
      <c r="B23" s="33">
        <f>E22</f>
        <v/>
      </c>
      <c r="C23" s="33">
        <f>$N$6</f>
        <v/>
      </c>
      <c r="D23" s="33">
        <f>B23*$D$6</f>
        <v/>
      </c>
      <c r="E23" s="33">
        <f>B23-D23+C23</f>
        <v/>
      </c>
      <c r="F23" s="29">
        <f>K22</f>
        <v/>
      </c>
      <c r="G23" s="29">
        <f>C23*$G$6</f>
        <v/>
      </c>
      <c r="H23" s="29">
        <f>F23*$H$6</f>
        <v/>
      </c>
      <c r="I23" s="29">
        <f>F23*$K$6</f>
        <v/>
      </c>
      <c r="J23" s="29">
        <f>F23*$D$6</f>
        <v/>
      </c>
      <c r="K23" s="29">
        <f>F23-J23+G23+H23-I23</f>
        <v/>
      </c>
    </row>
    <row r="24">
      <c r="A24" s="12" t="n">
        <v>12</v>
      </c>
      <c r="B24" s="33">
        <f>E23</f>
        <v/>
      </c>
      <c r="C24" s="33">
        <f>$N$6</f>
        <v/>
      </c>
      <c r="D24" s="33">
        <f>B24*$D$6</f>
        <v/>
      </c>
      <c r="E24" s="33">
        <f>B24-D24+C24</f>
        <v/>
      </c>
      <c r="F24" s="29">
        <f>K23</f>
        <v/>
      </c>
      <c r="G24" s="29">
        <f>C24*$G$6</f>
        <v/>
      </c>
      <c r="H24" s="29">
        <f>F24*$H$6</f>
        <v/>
      </c>
      <c r="I24" s="29">
        <f>F24*$K$6</f>
        <v/>
      </c>
      <c r="J24" s="29">
        <f>F24*$D$6</f>
        <v/>
      </c>
      <c r="K24" s="29">
        <f>F24-J24+G24+H24-I24</f>
        <v/>
      </c>
    </row>
    <row r="26">
      <c r="A26" s="7" t="inlineStr">
        <is>
          <t>Base / SMB</t>
        </is>
      </c>
    </row>
    <row r="27">
      <c r="A27" s="6" t="inlineStr">
        <is>
          <t>Month #</t>
        </is>
      </c>
      <c r="B27" s="6" t="inlineStr">
        <is>
          <t>Opening customers</t>
        </is>
      </c>
      <c r="C27" s="6" t="inlineStr">
        <is>
          <t>New customers</t>
        </is>
      </c>
      <c r="D27" s="6" t="inlineStr">
        <is>
          <t>Churn customers</t>
        </is>
      </c>
      <c r="E27" s="6" t="inlineStr">
        <is>
          <t>Closing customers</t>
        </is>
      </c>
      <c r="F27" s="6" t="inlineStr">
        <is>
          <t>Opening MRR</t>
        </is>
      </c>
      <c r="G27" s="6" t="inlineStr">
        <is>
          <t>New MRR</t>
        </is>
      </c>
      <c r="H27" s="6" t="inlineStr">
        <is>
          <t>Expansion MRR</t>
        </is>
      </c>
      <c r="I27" s="6" t="inlineStr">
        <is>
          <t>Contraction MRR</t>
        </is>
      </c>
      <c r="J27" s="6" t="inlineStr">
        <is>
          <t>Churn MRR</t>
        </is>
      </c>
      <c r="K27" s="6" t="inlineStr">
        <is>
          <t>Closing MRR</t>
        </is>
      </c>
    </row>
    <row r="28">
      <c r="A28" s="12" t="n">
        <v>1</v>
      </c>
      <c r="B28" s="37">
        <f>SUMIFS(Data_MRR!$I:$I,Data_MRR!$B:$B,"SMB",Data_MRR!$A:$A,Assumptions!$B$10)</f>
        <v/>
      </c>
      <c r="C28" s="33">
        <f>$N$7</f>
        <v/>
      </c>
      <c r="D28" s="33">
        <f>B28*$D$7</f>
        <v/>
      </c>
      <c r="E28" s="33">
        <f>B28-D28+C28</f>
        <v/>
      </c>
      <c r="F28" s="15">
        <f>SUMIFS(Data_MRR!$H:$H,Data_MRR!$B:$B,"SMB",Data_MRR!$A:$A,Assumptions!$B$10)</f>
        <v/>
      </c>
      <c r="G28" s="29">
        <f>C28*$G$7</f>
        <v/>
      </c>
      <c r="H28" s="29">
        <f>F28*$H$7</f>
        <v/>
      </c>
      <c r="I28" s="29">
        <f>F28*$K$7</f>
        <v/>
      </c>
      <c r="J28" s="29">
        <f>F28*$D$7</f>
        <v/>
      </c>
      <c r="K28" s="29">
        <f>F28-J28+G28+H28-I28</f>
        <v/>
      </c>
    </row>
    <row r="29">
      <c r="A29" s="12" t="n">
        <v>2</v>
      </c>
      <c r="B29" s="33">
        <f>E28</f>
        <v/>
      </c>
      <c r="C29" s="33">
        <f>$N$7</f>
        <v/>
      </c>
      <c r="D29" s="33">
        <f>B29*$D$7</f>
        <v/>
      </c>
      <c r="E29" s="33">
        <f>B29-D29+C29</f>
        <v/>
      </c>
      <c r="F29" s="29">
        <f>K28</f>
        <v/>
      </c>
      <c r="G29" s="29">
        <f>C29*$G$7</f>
        <v/>
      </c>
      <c r="H29" s="29">
        <f>F29*$H$7</f>
        <v/>
      </c>
      <c r="I29" s="29">
        <f>F29*$K$7</f>
        <v/>
      </c>
      <c r="J29" s="29">
        <f>F29*$D$7</f>
        <v/>
      </c>
      <c r="K29" s="29">
        <f>F29-J29+G29+H29-I29</f>
        <v/>
      </c>
    </row>
    <row r="30">
      <c r="A30" s="12" t="n">
        <v>3</v>
      </c>
      <c r="B30" s="33">
        <f>E29</f>
        <v/>
      </c>
      <c r="C30" s="33">
        <f>$N$7</f>
        <v/>
      </c>
      <c r="D30" s="33">
        <f>B30*$D$7</f>
        <v/>
      </c>
      <c r="E30" s="33">
        <f>B30-D30+C30</f>
        <v/>
      </c>
      <c r="F30" s="29">
        <f>K29</f>
        <v/>
      </c>
      <c r="G30" s="29">
        <f>C30*$G$7</f>
        <v/>
      </c>
      <c r="H30" s="29">
        <f>F30*$H$7</f>
        <v/>
      </c>
      <c r="I30" s="29">
        <f>F30*$K$7</f>
        <v/>
      </c>
      <c r="J30" s="29">
        <f>F30*$D$7</f>
        <v/>
      </c>
      <c r="K30" s="29">
        <f>F30-J30+G30+H30-I30</f>
        <v/>
      </c>
    </row>
    <row r="31">
      <c r="A31" s="12" t="n">
        <v>4</v>
      </c>
      <c r="B31" s="33">
        <f>E30</f>
        <v/>
      </c>
      <c r="C31" s="33">
        <f>$N$7</f>
        <v/>
      </c>
      <c r="D31" s="33">
        <f>B31*$D$7</f>
        <v/>
      </c>
      <c r="E31" s="33">
        <f>B31-D31+C31</f>
        <v/>
      </c>
      <c r="F31" s="29">
        <f>K30</f>
        <v/>
      </c>
      <c r="G31" s="29">
        <f>C31*$G$7</f>
        <v/>
      </c>
      <c r="H31" s="29">
        <f>F31*$H$7</f>
        <v/>
      </c>
      <c r="I31" s="29">
        <f>F31*$K$7</f>
        <v/>
      </c>
      <c r="J31" s="29">
        <f>F31*$D$7</f>
        <v/>
      </c>
      <c r="K31" s="29">
        <f>F31-J31+G31+H31-I31</f>
        <v/>
      </c>
    </row>
    <row r="32">
      <c r="A32" s="12" t="n">
        <v>5</v>
      </c>
      <c r="B32" s="33">
        <f>E31</f>
        <v/>
      </c>
      <c r="C32" s="33">
        <f>$N$7</f>
        <v/>
      </c>
      <c r="D32" s="33">
        <f>B32*$D$7</f>
        <v/>
      </c>
      <c r="E32" s="33">
        <f>B32-D32+C32</f>
        <v/>
      </c>
      <c r="F32" s="29">
        <f>K31</f>
        <v/>
      </c>
      <c r="G32" s="29">
        <f>C32*$G$7</f>
        <v/>
      </c>
      <c r="H32" s="29">
        <f>F32*$H$7</f>
        <v/>
      </c>
      <c r="I32" s="29">
        <f>F32*$K$7</f>
        <v/>
      </c>
      <c r="J32" s="29">
        <f>F32*$D$7</f>
        <v/>
      </c>
      <c r="K32" s="29">
        <f>F32-J32+G32+H32-I32</f>
        <v/>
      </c>
    </row>
    <row r="33">
      <c r="A33" s="12" t="n">
        <v>6</v>
      </c>
      <c r="B33" s="33">
        <f>E32</f>
        <v/>
      </c>
      <c r="C33" s="33">
        <f>$N$7</f>
        <v/>
      </c>
      <c r="D33" s="33">
        <f>B33*$D$7</f>
        <v/>
      </c>
      <c r="E33" s="33">
        <f>B33-D33+C33</f>
        <v/>
      </c>
      <c r="F33" s="29">
        <f>K32</f>
        <v/>
      </c>
      <c r="G33" s="29">
        <f>C33*$G$7</f>
        <v/>
      </c>
      <c r="H33" s="29">
        <f>F33*$H$7</f>
        <v/>
      </c>
      <c r="I33" s="29">
        <f>F33*$K$7</f>
        <v/>
      </c>
      <c r="J33" s="29">
        <f>F33*$D$7</f>
        <v/>
      </c>
      <c r="K33" s="29">
        <f>F33-J33+G33+H33-I33</f>
        <v/>
      </c>
    </row>
    <row r="34">
      <c r="A34" s="12" t="n">
        <v>7</v>
      </c>
      <c r="B34" s="33">
        <f>E33</f>
        <v/>
      </c>
      <c r="C34" s="33">
        <f>$N$7</f>
        <v/>
      </c>
      <c r="D34" s="33">
        <f>B34*$D$7</f>
        <v/>
      </c>
      <c r="E34" s="33">
        <f>B34-D34+C34</f>
        <v/>
      </c>
      <c r="F34" s="29">
        <f>K33</f>
        <v/>
      </c>
      <c r="G34" s="29">
        <f>C34*$G$7</f>
        <v/>
      </c>
      <c r="H34" s="29">
        <f>F34*$H$7</f>
        <v/>
      </c>
      <c r="I34" s="29">
        <f>F34*$K$7</f>
        <v/>
      </c>
      <c r="J34" s="29">
        <f>F34*$D$7</f>
        <v/>
      </c>
      <c r="K34" s="29">
        <f>F34-J34+G34+H34-I34</f>
        <v/>
      </c>
    </row>
    <row r="35">
      <c r="A35" s="12" t="n">
        <v>8</v>
      </c>
      <c r="B35" s="33">
        <f>E34</f>
        <v/>
      </c>
      <c r="C35" s="33">
        <f>$N$7</f>
        <v/>
      </c>
      <c r="D35" s="33">
        <f>B35*$D$7</f>
        <v/>
      </c>
      <c r="E35" s="33">
        <f>B35-D35+C35</f>
        <v/>
      </c>
      <c r="F35" s="29">
        <f>K34</f>
        <v/>
      </c>
      <c r="G35" s="29">
        <f>C35*$G$7</f>
        <v/>
      </c>
      <c r="H35" s="29">
        <f>F35*$H$7</f>
        <v/>
      </c>
      <c r="I35" s="29">
        <f>F35*$K$7</f>
        <v/>
      </c>
      <c r="J35" s="29">
        <f>F35*$D$7</f>
        <v/>
      </c>
      <c r="K35" s="29">
        <f>F35-J35+G35+H35-I35</f>
        <v/>
      </c>
    </row>
    <row r="36">
      <c r="A36" s="12" t="n">
        <v>9</v>
      </c>
      <c r="B36" s="33">
        <f>E35</f>
        <v/>
      </c>
      <c r="C36" s="33">
        <f>$N$7</f>
        <v/>
      </c>
      <c r="D36" s="33">
        <f>B36*$D$7</f>
        <v/>
      </c>
      <c r="E36" s="33">
        <f>B36-D36+C36</f>
        <v/>
      </c>
      <c r="F36" s="29">
        <f>K35</f>
        <v/>
      </c>
      <c r="G36" s="29">
        <f>C36*$G$7</f>
        <v/>
      </c>
      <c r="H36" s="29">
        <f>F36*$H$7</f>
        <v/>
      </c>
      <c r="I36" s="29">
        <f>F36*$K$7</f>
        <v/>
      </c>
      <c r="J36" s="29">
        <f>F36*$D$7</f>
        <v/>
      </c>
      <c r="K36" s="29">
        <f>F36-J36+G36+H36-I36</f>
        <v/>
      </c>
    </row>
    <row r="37">
      <c r="A37" s="12" t="n">
        <v>10</v>
      </c>
      <c r="B37" s="33">
        <f>E36</f>
        <v/>
      </c>
      <c r="C37" s="33">
        <f>$N$7</f>
        <v/>
      </c>
      <c r="D37" s="33">
        <f>B37*$D$7</f>
        <v/>
      </c>
      <c r="E37" s="33">
        <f>B37-D37+C37</f>
        <v/>
      </c>
      <c r="F37" s="29">
        <f>K36</f>
        <v/>
      </c>
      <c r="G37" s="29">
        <f>C37*$G$7</f>
        <v/>
      </c>
      <c r="H37" s="29">
        <f>F37*$H$7</f>
        <v/>
      </c>
      <c r="I37" s="29">
        <f>F37*$K$7</f>
        <v/>
      </c>
      <c r="J37" s="29">
        <f>F37*$D$7</f>
        <v/>
      </c>
      <c r="K37" s="29">
        <f>F37-J37+G37+H37-I37</f>
        <v/>
      </c>
    </row>
    <row r="38">
      <c r="A38" s="12" t="n">
        <v>11</v>
      </c>
      <c r="B38" s="33">
        <f>E37</f>
        <v/>
      </c>
      <c r="C38" s="33">
        <f>$N$7</f>
        <v/>
      </c>
      <c r="D38" s="33">
        <f>B38*$D$7</f>
        <v/>
      </c>
      <c r="E38" s="33">
        <f>B38-D38+C38</f>
        <v/>
      </c>
      <c r="F38" s="29">
        <f>K37</f>
        <v/>
      </c>
      <c r="G38" s="29">
        <f>C38*$G$7</f>
        <v/>
      </c>
      <c r="H38" s="29">
        <f>F38*$H$7</f>
        <v/>
      </c>
      <c r="I38" s="29">
        <f>F38*$K$7</f>
        <v/>
      </c>
      <c r="J38" s="29">
        <f>F38*$D$7</f>
        <v/>
      </c>
      <c r="K38" s="29">
        <f>F38-J38+G38+H38-I38</f>
        <v/>
      </c>
    </row>
    <row r="39">
      <c r="A39" s="12" t="n">
        <v>12</v>
      </c>
      <c r="B39" s="33">
        <f>E38</f>
        <v/>
      </c>
      <c r="C39" s="33">
        <f>$N$7</f>
        <v/>
      </c>
      <c r="D39" s="33">
        <f>B39*$D$7</f>
        <v/>
      </c>
      <c r="E39" s="33">
        <f>B39-D39+C39</f>
        <v/>
      </c>
      <c r="F39" s="29">
        <f>K38</f>
        <v/>
      </c>
      <c r="G39" s="29">
        <f>C39*$G$7</f>
        <v/>
      </c>
      <c r="H39" s="29">
        <f>F39*$H$7</f>
        <v/>
      </c>
      <c r="I39" s="29">
        <f>F39*$K$7</f>
        <v/>
      </c>
      <c r="J39" s="29">
        <f>F39*$D$7</f>
        <v/>
      </c>
      <c r="K39" s="29">
        <f>F39-J39+G39+H39-I39</f>
        <v/>
      </c>
    </row>
    <row r="41">
      <c r="A41" s="7" t="inlineStr">
        <is>
          <t>Base / Enterprise</t>
        </is>
      </c>
    </row>
    <row r="42">
      <c r="A42" s="6" t="inlineStr">
        <is>
          <t>Month #</t>
        </is>
      </c>
      <c r="B42" s="6" t="inlineStr">
        <is>
          <t>Opening customers</t>
        </is>
      </c>
      <c r="C42" s="6" t="inlineStr">
        <is>
          <t>New customers</t>
        </is>
      </c>
      <c r="D42" s="6" t="inlineStr">
        <is>
          <t>Churn customers</t>
        </is>
      </c>
      <c r="E42" s="6" t="inlineStr">
        <is>
          <t>Closing customers</t>
        </is>
      </c>
      <c r="F42" s="6" t="inlineStr">
        <is>
          <t>Opening MRR</t>
        </is>
      </c>
      <c r="G42" s="6" t="inlineStr">
        <is>
          <t>New MRR</t>
        </is>
      </c>
      <c r="H42" s="6" t="inlineStr">
        <is>
          <t>Expansion MRR</t>
        </is>
      </c>
      <c r="I42" s="6" t="inlineStr">
        <is>
          <t>Contraction MRR</t>
        </is>
      </c>
      <c r="J42" s="6" t="inlineStr">
        <is>
          <t>Churn MRR</t>
        </is>
      </c>
      <c r="K42" s="6" t="inlineStr">
        <is>
          <t>Closing MRR</t>
        </is>
      </c>
    </row>
    <row r="43">
      <c r="A43" s="12" t="n">
        <v>1</v>
      </c>
      <c r="B43" s="37">
        <f>SUMIFS(Data_MRR!$I:$I,Data_MRR!$B:$B,"Enterprise",Data_MRR!$A:$A,Assumptions!$B$10)</f>
        <v/>
      </c>
      <c r="C43" s="33">
        <f>$N$8</f>
        <v/>
      </c>
      <c r="D43" s="33">
        <f>B43*$D$8</f>
        <v/>
      </c>
      <c r="E43" s="33">
        <f>B43-D43+C43</f>
        <v/>
      </c>
      <c r="F43" s="15">
        <f>SUMIFS(Data_MRR!$H:$H,Data_MRR!$B:$B,"Enterprise",Data_MRR!$A:$A,Assumptions!$B$10)</f>
        <v/>
      </c>
      <c r="G43" s="29">
        <f>C43*$G$8</f>
        <v/>
      </c>
      <c r="H43" s="29">
        <f>F43*$H$8</f>
        <v/>
      </c>
      <c r="I43" s="29">
        <f>F43*$K$8</f>
        <v/>
      </c>
      <c r="J43" s="29">
        <f>F43*$D$8</f>
        <v/>
      </c>
      <c r="K43" s="29">
        <f>F43-J43+G43+H43-I43</f>
        <v/>
      </c>
    </row>
    <row r="44">
      <c r="A44" s="12" t="n">
        <v>2</v>
      </c>
      <c r="B44" s="33">
        <f>E43</f>
        <v/>
      </c>
      <c r="C44" s="33">
        <f>$N$8</f>
        <v/>
      </c>
      <c r="D44" s="33">
        <f>B44*$D$8</f>
        <v/>
      </c>
      <c r="E44" s="33">
        <f>B44-D44+C44</f>
        <v/>
      </c>
      <c r="F44" s="29">
        <f>K43</f>
        <v/>
      </c>
      <c r="G44" s="29">
        <f>C44*$G$8</f>
        <v/>
      </c>
      <c r="H44" s="29">
        <f>F44*$H$8</f>
        <v/>
      </c>
      <c r="I44" s="29">
        <f>F44*$K$8</f>
        <v/>
      </c>
      <c r="J44" s="29">
        <f>F44*$D$8</f>
        <v/>
      </c>
      <c r="K44" s="29">
        <f>F44-J44+G44+H44-I44</f>
        <v/>
      </c>
    </row>
    <row r="45">
      <c r="A45" s="12" t="n">
        <v>3</v>
      </c>
      <c r="B45" s="33">
        <f>E44</f>
        <v/>
      </c>
      <c r="C45" s="33">
        <f>$N$8</f>
        <v/>
      </c>
      <c r="D45" s="33">
        <f>B45*$D$8</f>
        <v/>
      </c>
      <c r="E45" s="33">
        <f>B45-D45+C45</f>
        <v/>
      </c>
      <c r="F45" s="29">
        <f>K44</f>
        <v/>
      </c>
      <c r="G45" s="29">
        <f>C45*$G$8</f>
        <v/>
      </c>
      <c r="H45" s="29">
        <f>F45*$H$8</f>
        <v/>
      </c>
      <c r="I45" s="29">
        <f>F45*$K$8</f>
        <v/>
      </c>
      <c r="J45" s="29">
        <f>F45*$D$8</f>
        <v/>
      </c>
      <c r="K45" s="29">
        <f>F45-J45+G45+H45-I45</f>
        <v/>
      </c>
    </row>
    <row r="46">
      <c r="A46" s="12" t="n">
        <v>4</v>
      </c>
      <c r="B46" s="33">
        <f>E45</f>
        <v/>
      </c>
      <c r="C46" s="33">
        <f>$N$8</f>
        <v/>
      </c>
      <c r="D46" s="33">
        <f>B46*$D$8</f>
        <v/>
      </c>
      <c r="E46" s="33">
        <f>B46-D46+C46</f>
        <v/>
      </c>
      <c r="F46" s="29">
        <f>K45</f>
        <v/>
      </c>
      <c r="G46" s="29">
        <f>C46*$G$8</f>
        <v/>
      </c>
      <c r="H46" s="29">
        <f>F46*$H$8</f>
        <v/>
      </c>
      <c r="I46" s="29">
        <f>F46*$K$8</f>
        <v/>
      </c>
      <c r="J46" s="29">
        <f>F46*$D$8</f>
        <v/>
      </c>
      <c r="K46" s="29">
        <f>F46-J46+G46+H46-I46</f>
        <v/>
      </c>
    </row>
    <row r="47">
      <c r="A47" s="12" t="n">
        <v>5</v>
      </c>
      <c r="B47" s="33">
        <f>E46</f>
        <v/>
      </c>
      <c r="C47" s="33">
        <f>$N$8</f>
        <v/>
      </c>
      <c r="D47" s="33">
        <f>B47*$D$8</f>
        <v/>
      </c>
      <c r="E47" s="33">
        <f>B47-D47+C47</f>
        <v/>
      </c>
      <c r="F47" s="29">
        <f>K46</f>
        <v/>
      </c>
      <c r="G47" s="29">
        <f>C47*$G$8</f>
        <v/>
      </c>
      <c r="H47" s="29">
        <f>F47*$H$8</f>
        <v/>
      </c>
      <c r="I47" s="29">
        <f>F47*$K$8</f>
        <v/>
      </c>
      <c r="J47" s="29">
        <f>F47*$D$8</f>
        <v/>
      </c>
      <c r="K47" s="29">
        <f>F47-J47+G47+H47-I47</f>
        <v/>
      </c>
    </row>
    <row r="48">
      <c r="A48" s="12" t="n">
        <v>6</v>
      </c>
      <c r="B48" s="33">
        <f>E47</f>
        <v/>
      </c>
      <c r="C48" s="33">
        <f>$N$8</f>
        <v/>
      </c>
      <c r="D48" s="33">
        <f>B48*$D$8</f>
        <v/>
      </c>
      <c r="E48" s="33">
        <f>B48-D48+C48</f>
        <v/>
      </c>
      <c r="F48" s="29">
        <f>K47</f>
        <v/>
      </c>
      <c r="G48" s="29">
        <f>C48*$G$8</f>
        <v/>
      </c>
      <c r="H48" s="29">
        <f>F48*$H$8</f>
        <v/>
      </c>
      <c r="I48" s="29">
        <f>F48*$K$8</f>
        <v/>
      </c>
      <c r="J48" s="29">
        <f>F48*$D$8</f>
        <v/>
      </c>
      <c r="K48" s="29">
        <f>F48-J48+G48+H48-I48</f>
        <v/>
      </c>
    </row>
    <row r="49">
      <c r="A49" s="12" t="n">
        <v>7</v>
      </c>
      <c r="B49" s="33">
        <f>E48</f>
        <v/>
      </c>
      <c r="C49" s="33">
        <f>$N$8</f>
        <v/>
      </c>
      <c r="D49" s="33">
        <f>B49*$D$8</f>
        <v/>
      </c>
      <c r="E49" s="33">
        <f>B49-D49+C49</f>
        <v/>
      </c>
      <c r="F49" s="29">
        <f>K48</f>
        <v/>
      </c>
      <c r="G49" s="29">
        <f>C49*$G$8</f>
        <v/>
      </c>
      <c r="H49" s="29">
        <f>F49*$H$8</f>
        <v/>
      </c>
      <c r="I49" s="29">
        <f>F49*$K$8</f>
        <v/>
      </c>
      <c r="J49" s="29">
        <f>F49*$D$8</f>
        <v/>
      </c>
      <c r="K49" s="29">
        <f>F49-J49+G49+H49-I49</f>
        <v/>
      </c>
    </row>
    <row r="50">
      <c r="A50" s="12" t="n">
        <v>8</v>
      </c>
      <c r="B50" s="33">
        <f>E49</f>
        <v/>
      </c>
      <c r="C50" s="33">
        <f>$N$8</f>
        <v/>
      </c>
      <c r="D50" s="33">
        <f>B50*$D$8</f>
        <v/>
      </c>
      <c r="E50" s="33">
        <f>B50-D50+C50</f>
        <v/>
      </c>
      <c r="F50" s="29">
        <f>K49</f>
        <v/>
      </c>
      <c r="G50" s="29">
        <f>C50*$G$8</f>
        <v/>
      </c>
      <c r="H50" s="29">
        <f>F50*$H$8</f>
        <v/>
      </c>
      <c r="I50" s="29">
        <f>F50*$K$8</f>
        <v/>
      </c>
      <c r="J50" s="29">
        <f>F50*$D$8</f>
        <v/>
      </c>
      <c r="K50" s="29">
        <f>F50-J50+G50+H50-I50</f>
        <v/>
      </c>
    </row>
    <row r="51">
      <c r="A51" s="12" t="n">
        <v>9</v>
      </c>
      <c r="B51" s="33">
        <f>E50</f>
        <v/>
      </c>
      <c r="C51" s="33">
        <f>$N$8</f>
        <v/>
      </c>
      <c r="D51" s="33">
        <f>B51*$D$8</f>
        <v/>
      </c>
      <c r="E51" s="33">
        <f>B51-D51+C51</f>
        <v/>
      </c>
      <c r="F51" s="29">
        <f>K50</f>
        <v/>
      </c>
      <c r="G51" s="29">
        <f>C51*$G$8</f>
        <v/>
      </c>
      <c r="H51" s="29">
        <f>F51*$H$8</f>
        <v/>
      </c>
      <c r="I51" s="29">
        <f>F51*$K$8</f>
        <v/>
      </c>
      <c r="J51" s="29">
        <f>F51*$D$8</f>
        <v/>
      </c>
      <c r="K51" s="29">
        <f>F51-J51+G51+H51-I51</f>
        <v/>
      </c>
    </row>
    <row r="52">
      <c r="A52" s="12" t="n">
        <v>10</v>
      </c>
      <c r="B52" s="33">
        <f>E51</f>
        <v/>
      </c>
      <c r="C52" s="33">
        <f>$N$8</f>
        <v/>
      </c>
      <c r="D52" s="33">
        <f>B52*$D$8</f>
        <v/>
      </c>
      <c r="E52" s="33">
        <f>B52-D52+C52</f>
        <v/>
      </c>
      <c r="F52" s="29">
        <f>K51</f>
        <v/>
      </c>
      <c r="G52" s="29">
        <f>C52*$G$8</f>
        <v/>
      </c>
      <c r="H52" s="29">
        <f>F52*$H$8</f>
        <v/>
      </c>
      <c r="I52" s="29">
        <f>F52*$K$8</f>
        <v/>
      </c>
      <c r="J52" s="29">
        <f>F52*$D$8</f>
        <v/>
      </c>
      <c r="K52" s="29">
        <f>F52-J52+G52+H52-I52</f>
        <v/>
      </c>
    </row>
    <row r="53">
      <c r="A53" s="12" t="n">
        <v>11</v>
      </c>
      <c r="B53" s="33">
        <f>E52</f>
        <v/>
      </c>
      <c r="C53" s="33">
        <f>$N$8</f>
        <v/>
      </c>
      <c r="D53" s="33">
        <f>B53*$D$8</f>
        <v/>
      </c>
      <c r="E53" s="33">
        <f>B53-D53+C53</f>
        <v/>
      </c>
      <c r="F53" s="29">
        <f>K52</f>
        <v/>
      </c>
      <c r="G53" s="29">
        <f>C53*$G$8</f>
        <v/>
      </c>
      <c r="H53" s="29">
        <f>F53*$H$8</f>
        <v/>
      </c>
      <c r="I53" s="29">
        <f>F53*$K$8</f>
        <v/>
      </c>
      <c r="J53" s="29">
        <f>F53*$D$8</f>
        <v/>
      </c>
      <c r="K53" s="29">
        <f>F53-J53+G53+H53-I53</f>
        <v/>
      </c>
    </row>
    <row r="54">
      <c r="A54" s="12" t="n">
        <v>12</v>
      </c>
      <c r="B54" s="33">
        <f>E53</f>
        <v/>
      </c>
      <c r="C54" s="33">
        <f>$N$8</f>
        <v/>
      </c>
      <c r="D54" s="33">
        <f>B54*$D$8</f>
        <v/>
      </c>
      <c r="E54" s="33">
        <f>B54-D54+C54</f>
        <v/>
      </c>
      <c r="F54" s="29">
        <f>K53</f>
        <v/>
      </c>
      <c r="G54" s="29">
        <f>C54*$G$8</f>
        <v/>
      </c>
      <c r="H54" s="29">
        <f>F54*$H$8</f>
        <v/>
      </c>
      <c r="I54" s="29">
        <f>F54*$K$8</f>
        <v/>
      </c>
      <c r="J54" s="29">
        <f>F54*$D$8</f>
        <v/>
      </c>
      <c r="K54" s="29">
        <f>F54-J54+G54+H54-I54</f>
        <v/>
      </c>
    </row>
    <row r="57">
      <c r="A57" s="3" t="inlineStr">
        <is>
          <t>Scenario: Bull -- 12-month projection by segment (May-24..Apr-25)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7" t="inlineStr">
        <is>
          <t>Bull / B2C</t>
        </is>
      </c>
    </row>
    <row r="59">
      <c r="A59" s="6" t="inlineStr">
        <is>
          <t>Month #</t>
        </is>
      </c>
      <c r="B59" s="6" t="inlineStr">
        <is>
          <t>Opening customers</t>
        </is>
      </c>
      <c r="C59" s="6" t="inlineStr">
        <is>
          <t>New customers</t>
        </is>
      </c>
      <c r="D59" s="6" t="inlineStr">
        <is>
          <t>Churn customers</t>
        </is>
      </c>
      <c r="E59" s="6" t="inlineStr">
        <is>
          <t>Closing customers</t>
        </is>
      </c>
      <c r="F59" s="6" t="inlineStr">
        <is>
          <t>Opening MRR</t>
        </is>
      </c>
      <c r="G59" s="6" t="inlineStr">
        <is>
          <t>New MRR</t>
        </is>
      </c>
      <c r="H59" s="6" t="inlineStr">
        <is>
          <t>Expansion MRR</t>
        </is>
      </c>
      <c r="I59" s="6" t="inlineStr">
        <is>
          <t>Contraction MRR</t>
        </is>
      </c>
      <c r="J59" s="6" t="inlineStr">
        <is>
          <t>Churn MRR</t>
        </is>
      </c>
      <c r="K59" s="6" t="inlineStr">
        <is>
          <t>Closing MRR</t>
        </is>
      </c>
    </row>
    <row r="60">
      <c r="A60" s="12" t="n">
        <v>1</v>
      </c>
      <c r="B60" s="37">
        <f>SUMIFS(Data_MRR!$I:$I,Data_MRR!$B:$B,"B2C",Data_MRR!$A:$A,Assumptions!$B$10)</f>
        <v/>
      </c>
      <c r="C60" s="33">
        <f>MAX($N$6,$N$6+$O$6*A60)</f>
        <v/>
      </c>
      <c r="D60" s="33">
        <f>B60*$E$6</f>
        <v/>
      </c>
      <c r="E60" s="33">
        <f>B60-D60+C60</f>
        <v/>
      </c>
      <c r="F60" s="15">
        <f>SUMIFS(Data_MRR!$H:$H,Data_MRR!$B:$B,"B2C",Data_MRR!$A:$A,Assumptions!$B$10)</f>
        <v/>
      </c>
      <c r="G60" s="29">
        <f>C60*$G$6</f>
        <v/>
      </c>
      <c r="H60" s="29">
        <f>F60*$I$6</f>
        <v/>
      </c>
      <c r="I60" s="29">
        <f>F60*$L$6</f>
        <v/>
      </c>
      <c r="J60" s="29">
        <f>F60*$E$6</f>
        <v/>
      </c>
      <c r="K60" s="29">
        <f>F60-J60+G60+H60-I60</f>
        <v/>
      </c>
    </row>
    <row r="61">
      <c r="A61" s="12" t="n">
        <v>2</v>
      </c>
      <c r="B61" s="33">
        <f>E60</f>
        <v/>
      </c>
      <c r="C61" s="33">
        <f>MAX($N$6,$N$6+$O$6*A61)</f>
        <v/>
      </c>
      <c r="D61" s="33">
        <f>B61*$E$6</f>
        <v/>
      </c>
      <c r="E61" s="33">
        <f>B61-D61+C61</f>
        <v/>
      </c>
      <c r="F61" s="29">
        <f>K60</f>
        <v/>
      </c>
      <c r="G61" s="29">
        <f>C61*$G$6</f>
        <v/>
      </c>
      <c r="H61" s="29">
        <f>F61*$I$6</f>
        <v/>
      </c>
      <c r="I61" s="29">
        <f>F61*$L$6</f>
        <v/>
      </c>
      <c r="J61" s="29">
        <f>F61*$E$6</f>
        <v/>
      </c>
      <c r="K61" s="29">
        <f>F61-J61+G61+H61-I61</f>
        <v/>
      </c>
    </row>
    <row r="62">
      <c r="A62" s="12" t="n">
        <v>3</v>
      </c>
      <c r="B62" s="33">
        <f>E61</f>
        <v/>
      </c>
      <c r="C62" s="33">
        <f>MAX($N$6,$N$6+$O$6*A62)</f>
        <v/>
      </c>
      <c r="D62" s="33">
        <f>B62*$E$6</f>
        <v/>
      </c>
      <c r="E62" s="33">
        <f>B62-D62+C62</f>
        <v/>
      </c>
      <c r="F62" s="29">
        <f>K61</f>
        <v/>
      </c>
      <c r="G62" s="29">
        <f>C62*$G$6</f>
        <v/>
      </c>
      <c r="H62" s="29">
        <f>F62*$I$6</f>
        <v/>
      </c>
      <c r="I62" s="29">
        <f>F62*$L$6</f>
        <v/>
      </c>
      <c r="J62" s="29">
        <f>F62*$E$6</f>
        <v/>
      </c>
      <c r="K62" s="29">
        <f>F62-J62+G62+H62-I62</f>
        <v/>
      </c>
    </row>
    <row r="63">
      <c r="A63" s="12" t="n">
        <v>4</v>
      </c>
      <c r="B63" s="33">
        <f>E62</f>
        <v/>
      </c>
      <c r="C63" s="33">
        <f>MAX($N$6,$N$6+$O$6*A63)</f>
        <v/>
      </c>
      <c r="D63" s="33">
        <f>B63*$E$6</f>
        <v/>
      </c>
      <c r="E63" s="33">
        <f>B63-D63+C63</f>
        <v/>
      </c>
      <c r="F63" s="29">
        <f>K62</f>
        <v/>
      </c>
      <c r="G63" s="29">
        <f>C63*$G$6</f>
        <v/>
      </c>
      <c r="H63" s="29">
        <f>F63*$I$6</f>
        <v/>
      </c>
      <c r="I63" s="29">
        <f>F63*$L$6</f>
        <v/>
      </c>
      <c r="J63" s="29">
        <f>F63*$E$6</f>
        <v/>
      </c>
      <c r="K63" s="29">
        <f>F63-J63+G63+H63-I63</f>
        <v/>
      </c>
    </row>
    <row r="64">
      <c r="A64" s="12" t="n">
        <v>5</v>
      </c>
      <c r="B64" s="33">
        <f>E63</f>
        <v/>
      </c>
      <c r="C64" s="33">
        <f>MAX($N$6,$N$6+$O$6*A64)</f>
        <v/>
      </c>
      <c r="D64" s="33">
        <f>B64*$E$6</f>
        <v/>
      </c>
      <c r="E64" s="33">
        <f>B64-D64+C64</f>
        <v/>
      </c>
      <c r="F64" s="29">
        <f>K63</f>
        <v/>
      </c>
      <c r="G64" s="29">
        <f>C64*$G$6</f>
        <v/>
      </c>
      <c r="H64" s="29">
        <f>F64*$I$6</f>
        <v/>
      </c>
      <c r="I64" s="29">
        <f>F64*$L$6</f>
        <v/>
      </c>
      <c r="J64" s="29">
        <f>F64*$E$6</f>
        <v/>
      </c>
      <c r="K64" s="29">
        <f>F64-J64+G64+H64-I64</f>
        <v/>
      </c>
    </row>
    <row r="65">
      <c r="A65" s="12" t="n">
        <v>6</v>
      </c>
      <c r="B65" s="33">
        <f>E64</f>
        <v/>
      </c>
      <c r="C65" s="33">
        <f>MAX($N$6,$N$6+$O$6*A65)</f>
        <v/>
      </c>
      <c r="D65" s="33">
        <f>B65*$E$6</f>
        <v/>
      </c>
      <c r="E65" s="33">
        <f>B65-D65+C65</f>
        <v/>
      </c>
      <c r="F65" s="29">
        <f>K64</f>
        <v/>
      </c>
      <c r="G65" s="29">
        <f>C65*$G$6</f>
        <v/>
      </c>
      <c r="H65" s="29">
        <f>F65*$I$6</f>
        <v/>
      </c>
      <c r="I65" s="29">
        <f>F65*$L$6</f>
        <v/>
      </c>
      <c r="J65" s="29">
        <f>F65*$E$6</f>
        <v/>
      </c>
      <c r="K65" s="29">
        <f>F65-J65+G65+H65-I65</f>
        <v/>
      </c>
    </row>
    <row r="66">
      <c r="A66" s="12" t="n">
        <v>7</v>
      </c>
      <c r="B66" s="33">
        <f>E65</f>
        <v/>
      </c>
      <c r="C66" s="33">
        <f>MAX($N$6,$N$6+$O$6*A66)</f>
        <v/>
      </c>
      <c r="D66" s="33">
        <f>B66*$E$6</f>
        <v/>
      </c>
      <c r="E66" s="33">
        <f>B66-D66+C66</f>
        <v/>
      </c>
      <c r="F66" s="29">
        <f>K65</f>
        <v/>
      </c>
      <c r="G66" s="29">
        <f>C66*$G$6</f>
        <v/>
      </c>
      <c r="H66" s="29">
        <f>F66*$I$6</f>
        <v/>
      </c>
      <c r="I66" s="29">
        <f>F66*$L$6</f>
        <v/>
      </c>
      <c r="J66" s="29">
        <f>F66*$E$6</f>
        <v/>
      </c>
      <c r="K66" s="29">
        <f>F66-J66+G66+H66-I66</f>
        <v/>
      </c>
    </row>
    <row r="67">
      <c r="A67" s="12" t="n">
        <v>8</v>
      </c>
      <c r="B67" s="33">
        <f>E66</f>
        <v/>
      </c>
      <c r="C67" s="33">
        <f>MAX($N$6,$N$6+$O$6*A67)</f>
        <v/>
      </c>
      <c r="D67" s="33">
        <f>B67*$E$6</f>
        <v/>
      </c>
      <c r="E67" s="33">
        <f>B67-D67+C67</f>
        <v/>
      </c>
      <c r="F67" s="29">
        <f>K66</f>
        <v/>
      </c>
      <c r="G67" s="29">
        <f>C67*$G$6</f>
        <v/>
      </c>
      <c r="H67" s="29">
        <f>F67*$I$6</f>
        <v/>
      </c>
      <c r="I67" s="29">
        <f>F67*$L$6</f>
        <v/>
      </c>
      <c r="J67" s="29">
        <f>F67*$E$6</f>
        <v/>
      </c>
      <c r="K67" s="29">
        <f>F67-J67+G67+H67-I67</f>
        <v/>
      </c>
    </row>
    <row r="68">
      <c r="A68" s="12" t="n">
        <v>9</v>
      </c>
      <c r="B68" s="33">
        <f>E67</f>
        <v/>
      </c>
      <c r="C68" s="33">
        <f>MAX($N$6,$N$6+$O$6*A68)</f>
        <v/>
      </c>
      <c r="D68" s="33">
        <f>B68*$E$6</f>
        <v/>
      </c>
      <c r="E68" s="33">
        <f>B68-D68+C68</f>
        <v/>
      </c>
      <c r="F68" s="29">
        <f>K67</f>
        <v/>
      </c>
      <c r="G68" s="29">
        <f>C68*$G$6</f>
        <v/>
      </c>
      <c r="H68" s="29">
        <f>F68*$I$6</f>
        <v/>
      </c>
      <c r="I68" s="29">
        <f>F68*$L$6</f>
        <v/>
      </c>
      <c r="J68" s="29">
        <f>F68*$E$6</f>
        <v/>
      </c>
      <c r="K68" s="29">
        <f>F68-J68+G68+H68-I68</f>
        <v/>
      </c>
    </row>
    <row r="69">
      <c r="A69" s="12" t="n">
        <v>10</v>
      </c>
      <c r="B69" s="33">
        <f>E68</f>
        <v/>
      </c>
      <c r="C69" s="33">
        <f>MAX($N$6,$N$6+$O$6*A69)</f>
        <v/>
      </c>
      <c r="D69" s="33">
        <f>B69*$E$6</f>
        <v/>
      </c>
      <c r="E69" s="33">
        <f>B69-D69+C69</f>
        <v/>
      </c>
      <c r="F69" s="29">
        <f>K68</f>
        <v/>
      </c>
      <c r="G69" s="29">
        <f>C69*$G$6</f>
        <v/>
      </c>
      <c r="H69" s="29">
        <f>F69*$I$6</f>
        <v/>
      </c>
      <c r="I69" s="29">
        <f>F69*$L$6</f>
        <v/>
      </c>
      <c r="J69" s="29">
        <f>F69*$E$6</f>
        <v/>
      </c>
      <c r="K69" s="29">
        <f>F69-J69+G69+H69-I69</f>
        <v/>
      </c>
    </row>
    <row r="70">
      <c r="A70" s="12" t="n">
        <v>11</v>
      </c>
      <c r="B70" s="33">
        <f>E69</f>
        <v/>
      </c>
      <c r="C70" s="33">
        <f>MAX($N$6,$N$6+$O$6*A70)</f>
        <v/>
      </c>
      <c r="D70" s="33">
        <f>B70*$E$6</f>
        <v/>
      </c>
      <c r="E70" s="33">
        <f>B70-D70+C70</f>
        <v/>
      </c>
      <c r="F70" s="29">
        <f>K69</f>
        <v/>
      </c>
      <c r="G70" s="29">
        <f>C70*$G$6</f>
        <v/>
      </c>
      <c r="H70" s="29">
        <f>F70*$I$6</f>
        <v/>
      </c>
      <c r="I70" s="29">
        <f>F70*$L$6</f>
        <v/>
      </c>
      <c r="J70" s="29">
        <f>F70*$E$6</f>
        <v/>
      </c>
      <c r="K70" s="29">
        <f>F70-J70+G70+H70-I70</f>
        <v/>
      </c>
    </row>
    <row r="71">
      <c r="A71" s="12" t="n">
        <v>12</v>
      </c>
      <c r="B71" s="33">
        <f>E70</f>
        <v/>
      </c>
      <c r="C71" s="33">
        <f>MAX($N$6,$N$6+$O$6*A71)</f>
        <v/>
      </c>
      <c r="D71" s="33">
        <f>B71*$E$6</f>
        <v/>
      </c>
      <c r="E71" s="33">
        <f>B71-D71+C71</f>
        <v/>
      </c>
      <c r="F71" s="29">
        <f>K70</f>
        <v/>
      </c>
      <c r="G71" s="29">
        <f>C71*$G$6</f>
        <v/>
      </c>
      <c r="H71" s="29">
        <f>F71*$I$6</f>
        <v/>
      </c>
      <c r="I71" s="29">
        <f>F71*$L$6</f>
        <v/>
      </c>
      <c r="J71" s="29">
        <f>F71*$E$6</f>
        <v/>
      </c>
      <c r="K71" s="29">
        <f>F71-J71+G71+H71-I71</f>
        <v/>
      </c>
    </row>
    <row r="73">
      <c r="A73" s="7" t="inlineStr">
        <is>
          <t>Bull / SMB</t>
        </is>
      </c>
    </row>
    <row r="74">
      <c r="A74" s="6" t="inlineStr">
        <is>
          <t>Month #</t>
        </is>
      </c>
      <c r="B74" s="6" t="inlineStr">
        <is>
          <t>Opening customers</t>
        </is>
      </c>
      <c r="C74" s="6" t="inlineStr">
        <is>
          <t>New customers</t>
        </is>
      </c>
      <c r="D74" s="6" t="inlineStr">
        <is>
          <t>Churn customers</t>
        </is>
      </c>
      <c r="E74" s="6" t="inlineStr">
        <is>
          <t>Closing customers</t>
        </is>
      </c>
      <c r="F74" s="6" t="inlineStr">
        <is>
          <t>Opening MRR</t>
        </is>
      </c>
      <c r="G74" s="6" t="inlineStr">
        <is>
          <t>New MRR</t>
        </is>
      </c>
      <c r="H74" s="6" t="inlineStr">
        <is>
          <t>Expansion MRR</t>
        </is>
      </c>
      <c r="I74" s="6" t="inlineStr">
        <is>
          <t>Contraction MRR</t>
        </is>
      </c>
      <c r="J74" s="6" t="inlineStr">
        <is>
          <t>Churn MRR</t>
        </is>
      </c>
      <c r="K74" s="6" t="inlineStr">
        <is>
          <t>Closing MRR</t>
        </is>
      </c>
    </row>
    <row r="75">
      <c r="A75" s="12" t="n">
        <v>1</v>
      </c>
      <c r="B75" s="37">
        <f>SUMIFS(Data_MRR!$I:$I,Data_MRR!$B:$B,"SMB",Data_MRR!$A:$A,Assumptions!$B$10)</f>
        <v/>
      </c>
      <c r="C75" s="33">
        <f>MAX($N$7,$N$7+$O$7*A75)</f>
        <v/>
      </c>
      <c r="D75" s="33">
        <f>B75*$E$7</f>
        <v/>
      </c>
      <c r="E75" s="33">
        <f>B75-D75+C75</f>
        <v/>
      </c>
      <c r="F75" s="15">
        <f>SUMIFS(Data_MRR!$H:$H,Data_MRR!$B:$B,"SMB",Data_MRR!$A:$A,Assumptions!$B$10)</f>
        <v/>
      </c>
      <c r="G75" s="29">
        <f>C75*$G$7</f>
        <v/>
      </c>
      <c r="H75" s="29">
        <f>F75*$I$7</f>
        <v/>
      </c>
      <c r="I75" s="29">
        <f>F75*$L$7</f>
        <v/>
      </c>
      <c r="J75" s="29">
        <f>F75*$E$7</f>
        <v/>
      </c>
      <c r="K75" s="29">
        <f>F75-J75+G75+H75-I75</f>
        <v/>
      </c>
    </row>
    <row r="76">
      <c r="A76" s="12" t="n">
        <v>2</v>
      </c>
      <c r="B76" s="33">
        <f>E75</f>
        <v/>
      </c>
      <c r="C76" s="33">
        <f>MAX($N$7,$N$7+$O$7*A76)</f>
        <v/>
      </c>
      <c r="D76" s="33">
        <f>B76*$E$7</f>
        <v/>
      </c>
      <c r="E76" s="33">
        <f>B76-D76+C76</f>
        <v/>
      </c>
      <c r="F76" s="29">
        <f>K75</f>
        <v/>
      </c>
      <c r="G76" s="29">
        <f>C76*$G$7</f>
        <v/>
      </c>
      <c r="H76" s="29">
        <f>F76*$I$7</f>
        <v/>
      </c>
      <c r="I76" s="29">
        <f>F76*$L$7</f>
        <v/>
      </c>
      <c r="J76" s="29">
        <f>F76*$E$7</f>
        <v/>
      </c>
      <c r="K76" s="29">
        <f>F76-J76+G76+H76-I76</f>
        <v/>
      </c>
    </row>
    <row r="77">
      <c r="A77" s="12" t="n">
        <v>3</v>
      </c>
      <c r="B77" s="33">
        <f>E76</f>
        <v/>
      </c>
      <c r="C77" s="33">
        <f>MAX($N$7,$N$7+$O$7*A77)</f>
        <v/>
      </c>
      <c r="D77" s="33">
        <f>B77*$E$7</f>
        <v/>
      </c>
      <c r="E77" s="33">
        <f>B77-D77+C77</f>
        <v/>
      </c>
      <c r="F77" s="29">
        <f>K76</f>
        <v/>
      </c>
      <c r="G77" s="29">
        <f>C77*$G$7</f>
        <v/>
      </c>
      <c r="H77" s="29">
        <f>F77*$I$7</f>
        <v/>
      </c>
      <c r="I77" s="29">
        <f>F77*$L$7</f>
        <v/>
      </c>
      <c r="J77" s="29">
        <f>F77*$E$7</f>
        <v/>
      </c>
      <c r="K77" s="29">
        <f>F77-J77+G77+H77-I77</f>
        <v/>
      </c>
    </row>
    <row r="78">
      <c r="A78" s="12" t="n">
        <v>4</v>
      </c>
      <c r="B78" s="33">
        <f>E77</f>
        <v/>
      </c>
      <c r="C78" s="33">
        <f>MAX($N$7,$N$7+$O$7*A78)</f>
        <v/>
      </c>
      <c r="D78" s="33">
        <f>B78*$E$7</f>
        <v/>
      </c>
      <c r="E78" s="33">
        <f>B78-D78+C78</f>
        <v/>
      </c>
      <c r="F78" s="29">
        <f>K77</f>
        <v/>
      </c>
      <c r="G78" s="29">
        <f>C78*$G$7</f>
        <v/>
      </c>
      <c r="H78" s="29">
        <f>F78*$I$7</f>
        <v/>
      </c>
      <c r="I78" s="29">
        <f>F78*$L$7</f>
        <v/>
      </c>
      <c r="J78" s="29">
        <f>F78*$E$7</f>
        <v/>
      </c>
      <c r="K78" s="29">
        <f>F78-J78+G78+H78-I78</f>
        <v/>
      </c>
    </row>
    <row r="79">
      <c r="A79" s="12" t="n">
        <v>5</v>
      </c>
      <c r="B79" s="33">
        <f>E78</f>
        <v/>
      </c>
      <c r="C79" s="33">
        <f>MAX($N$7,$N$7+$O$7*A79)</f>
        <v/>
      </c>
      <c r="D79" s="33">
        <f>B79*$E$7</f>
        <v/>
      </c>
      <c r="E79" s="33">
        <f>B79-D79+C79</f>
        <v/>
      </c>
      <c r="F79" s="29">
        <f>K78</f>
        <v/>
      </c>
      <c r="G79" s="29">
        <f>C79*$G$7</f>
        <v/>
      </c>
      <c r="H79" s="29">
        <f>F79*$I$7</f>
        <v/>
      </c>
      <c r="I79" s="29">
        <f>F79*$L$7</f>
        <v/>
      </c>
      <c r="J79" s="29">
        <f>F79*$E$7</f>
        <v/>
      </c>
      <c r="K79" s="29">
        <f>F79-J79+G79+H79-I79</f>
        <v/>
      </c>
    </row>
    <row r="80">
      <c r="A80" s="12" t="n">
        <v>6</v>
      </c>
      <c r="B80" s="33">
        <f>E79</f>
        <v/>
      </c>
      <c r="C80" s="33">
        <f>MAX($N$7,$N$7+$O$7*A80)</f>
        <v/>
      </c>
      <c r="D80" s="33">
        <f>B80*$E$7</f>
        <v/>
      </c>
      <c r="E80" s="33">
        <f>B80-D80+C80</f>
        <v/>
      </c>
      <c r="F80" s="29">
        <f>K79</f>
        <v/>
      </c>
      <c r="G80" s="29">
        <f>C80*$G$7</f>
        <v/>
      </c>
      <c r="H80" s="29">
        <f>F80*$I$7</f>
        <v/>
      </c>
      <c r="I80" s="29">
        <f>F80*$L$7</f>
        <v/>
      </c>
      <c r="J80" s="29">
        <f>F80*$E$7</f>
        <v/>
      </c>
      <c r="K80" s="29">
        <f>F80-J80+G80+H80-I80</f>
        <v/>
      </c>
    </row>
    <row r="81">
      <c r="A81" s="12" t="n">
        <v>7</v>
      </c>
      <c r="B81" s="33">
        <f>E80</f>
        <v/>
      </c>
      <c r="C81" s="33">
        <f>MAX($N$7,$N$7+$O$7*A81)</f>
        <v/>
      </c>
      <c r="D81" s="33">
        <f>B81*$E$7</f>
        <v/>
      </c>
      <c r="E81" s="33">
        <f>B81-D81+C81</f>
        <v/>
      </c>
      <c r="F81" s="29">
        <f>K80</f>
        <v/>
      </c>
      <c r="G81" s="29">
        <f>C81*$G$7</f>
        <v/>
      </c>
      <c r="H81" s="29">
        <f>F81*$I$7</f>
        <v/>
      </c>
      <c r="I81" s="29">
        <f>F81*$L$7</f>
        <v/>
      </c>
      <c r="J81" s="29">
        <f>F81*$E$7</f>
        <v/>
      </c>
      <c r="K81" s="29">
        <f>F81-J81+G81+H81-I81</f>
        <v/>
      </c>
    </row>
    <row r="82">
      <c r="A82" s="12" t="n">
        <v>8</v>
      </c>
      <c r="B82" s="33">
        <f>E81</f>
        <v/>
      </c>
      <c r="C82" s="33">
        <f>MAX($N$7,$N$7+$O$7*A82)</f>
        <v/>
      </c>
      <c r="D82" s="33">
        <f>B82*$E$7</f>
        <v/>
      </c>
      <c r="E82" s="33">
        <f>B82-D82+C82</f>
        <v/>
      </c>
      <c r="F82" s="29">
        <f>K81</f>
        <v/>
      </c>
      <c r="G82" s="29">
        <f>C82*$G$7</f>
        <v/>
      </c>
      <c r="H82" s="29">
        <f>F82*$I$7</f>
        <v/>
      </c>
      <c r="I82" s="29">
        <f>F82*$L$7</f>
        <v/>
      </c>
      <c r="J82" s="29">
        <f>F82*$E$7</f>
        <v/>
      </c>
      <c r="K82" s="29">
        <f>F82-J82+G82+H82-I82</f>
        <v/>
      </c>
    </row>
    <row r="83">
      <c r="A83" s="12" t="n">
        <v>9</v>
      </c>
      <c r="B83" s="33">
        <f>E82</f>
        <v/>
      </c>
      <c r="C83" s="33">
        <f>MAX($N$7,$N$7+$O$7*A83)</f>
        <v/>
      </c>
      <c r="D83" s="33">
        <f>B83*$E$7</f>
        <v/>
      </c>
      <c r="E83" s="33">
        <f>B83-D83+C83</f>
        <v/>
      </c>
      <c r="F83" s="29">
        <f>K82</f>
        <v/>
      </c>
      <c r="G83" s="29">
        <f>C83*$G$7</f>
        <v/>
      </c>
      <c r="H83" s="29">
        <f>F83*$I$7</f>
        <v/>
      </c>
      <c r="I83" s="29">
        <f>F83*$L$7</f>
        <v/>
      </c>
      <c r="J83" s="29">
        <f>F83*$E$7</f>
        <v/>
      </c>
      <c r="K83" s="29">
        <f>F83-J83+G83+H83-I83</f>
        <v/>
      </c>
    </row>
    <row r="84">
      <c r="A84" s="12" t="n">
        <v>10</v>
      </c>
      <c r="B84" s="33">
        <f>E83</f>
        <v/>
      </c>
      <c r="C84" s="33">
        <f>MAX($N$7,$N$7+$O$7*A84)</f>
        <v/>
      </c>
      <c r="D84" s="33">
        <f>B84*$E$7</f>
        <v/>
      </c>
      <c r="E84" s="33">
        <f>B84-D84+C84</f>
        <v/>
      </c>
      <c r="F84" s="29">
        <f>K83</f>
        <v/>
      </c>
      <c r="G84" s="29">
        <f>C84*$G$7</f>
        <v/>
      </c>
      <c r="H84" s="29">
        <f>F84*$I$7</f>
        <v/>
      </c>
      <c r="I84" s="29">
        <f>F84*$L$7</f>
        <v/>
      </c>
      <c r="J84" s="29">
        <f>F84*$E$7</f>
        <v/>
      </c>
      <c r="K84" s="29">
        <f>F84-J84+G84+H84-I84</f>
        <v/>
      </c>
    </row>
    <row r="85">
      <c r="A85" s="12" t="n">
        <v>11</v>
      </c>
      <c r="B85" s="33">
        <f>E84</f>
        <v/>
      </c>
      <c r="C85" s="33">
        <f>MAX($N$7,$N$7+$O$7*A85)</f>
        <v/>
      </c>
      <c r="D85" s="33">
        <f>B85*$E$7</f>
        <v/>
      </c>
      <c r="E85" s="33">
        <f>B85-D85+C85</f>
        <v/>
      </c>
      <c r="F85" s="29">
        <f>K84</f>
        <v/>
      </c>
      <c r="G85" s="29">
        <f>C85*$G$7</f>
        <v/>
      </c>
      <c r="H85" s="29">
        <f>F85*$I$7</f>
        <v/>
      </c>
      <c r="I85" s="29">
        <f>F85*$L$7</f>
        <v/>
      </c>
      <c r="J85" s="29">
        <f>F85*$E$7</f>
        <v/>
      </c>
      <c r="K85" s="29">
        <f>F85-J85+G85+H85-I85</f>
        <v/>
      </c>
    </row>
    <row r="86">
      <c r="A86" s="12" t="n">
        <v>12</v>
      </c>
      <c r="B86" s="33">
        <f>E85</f>
        <v/>
      </c>
      <c r="C86" s="33">
        <f>MAX($N$7,$N$7+$O$7*A86)</f>
        <v/>
      </c>
      <c r="D86" s="33">
        <f>B86*$E$7</f>
        <v/>
      </c>
      <c r="E86" s="33">
        <f>B86-D86+C86</f>
        <v/>
      </c>
      <c r="F86" s="29">
        <f>K85</f>
        <v/>
      </c>
      <c r="G86" s="29">
        <f>C86*$G$7</f>
        <v/>
      </c>
      <c r="H86" s="29">
        <f>F86*$I$7</f>
        <v/>
      </c>
      <c r="I86" s="29">
        <f>F86*$L$7</f>
        <v/>
      </c>
      <c r="J86" s="29">
        <f>F86*$E$7</f>
        <v/>
      </c>
      <c r="K86" s="29">
        <f>F86-J86+G86+H86-I86</f>
        <v/>
      </c>
    </row>
    <row r="88">
      <c r="A88" s="7" t="inlineStr">
        <is>
          <t>Bull / Enterprise</t>
        </is>
      </c>
    </row>
    <row r="89">
      <c r="A89" s="6" t="inlineStr">
        <is>
          <t>Month #</t>
        </is>
      </c>
      <c r="B89" s="6" t="inlineStr">
        <is>
          <t>Opening customers</t>
        </is>
      </c>
      <c r="C89" s="6" t="inlineStr">
        <is>
          <t>New customers</t>
        </is>
      </c>
      <c r="D89" s="6" t="inlineStr">
        <is>
          <t>Churn customers</t>
        </is>
      </c>
      <c r="E89" s="6" t="inlineStr">
        <is>
          <t>Closing customers</t>
        </is>
      </c>
      <c r="F89" s="6" t="inlineStr">
        <is>
          <t>Opening MRR</t>
        </is>
      </c>
      <c r="G89" s="6" t="inlineStr">
        <is>
          <t>New MRR</t>
        </is>
      </c>
      <c r="H89" s="6" t="inlineStr">
        <is>
          <t>Expansion MRR</t>
        </is>
      </c>
      <c r="I89" s="6" t="inlineStr">
        <is>
          <t>Contraction MRR</t>
        </is>
      </c>
      <c r="J89" s="6" t="inlineStr">
        <is>
          <t>Churn MRR</t>
        </is>
      </c>
      <c r="K89" s="6" t="inlineStr">
        <is>
          <t>Closing MRR</t>
        </is>
      </c>
    </row>
    <row r="90">
      <c r="A90" s="12" t="n">
        <v>1</v>
      </c>
      <c r="B90" s="37">
        <f>SUMIFS(Data_MRR!$I:$I,Data_MRR!$B:$B,"Enterprise",Data_MRR!$A:$A,Assumptions!$B$10)</f>
        <v/>
      </c>
      <c r="C90" s="33">
        <f>MAX($N$8,$N$8+$O$8*A90)</f>
        <v/>
      </c>
      <c r="D90" s="33">
        <f>B90*$E$8</f>
        <v/>
      </c>
      <c r="E90" s="33">
        <f>B90-D90+C90</f>
        <v/>
      </c>
      <c r="F90" s="15">
        <f>SUMIFS(Data_MRR!$H:$H,Data_MRR!$B:$B,"Enterprise",Data_MRR!$A:$A,Assumptions!$B$10)</f>
        <v/>
      </c>
      <c r="G90" s="29">
        <f>C90*$G$8</f>
        <v/>
      </c>
      <c r="H90" s="29">
        <f>F90*$I$8</f>
        <v/>
      </c>
      <c r="I90" s="29">
        <f>F90*$L$8</f>
        <v/>
      </c>
      <c r="J90" s="29">
        <f>F90*$E$8</f>
        <v/>
      </c>
      <c r="K90" s="29">
        <f>F90-J90+G90+H90-I90</f>
        <v/>
      </c>
    </row>
    <row r="91">
      <c r="A91" s="12" t="n">
        <v>2</v>
      </c>
      <c r="B91" s="33">
        <f>E90</f>
        <v/>
      </c>
      <c r="C91" s="33">
        <f>MAX($N$8,$N$8+$O$8*A91)</f>
        <v/>
      </c>
      <c r="D91" s="33">
        <f>B91*$E$8</f>
        <v/>
      </c>
      <c r="E91" s="33">
        <f>B91-D91+C91</f>
        <v/>
      </c>
      <c r="F91" s="29">
        <f>K90</f>
        <v/>
      </c>
      <c r="G91" s="29">
        <f>C91*$G$8</f>
        <v/>
      </c>
      <c r="H91" s="29">
        <f>F91*$I$8</f>
        <v/>
      </c>
      <c r="I91" s="29">
        <f>F91*$L$8</f>
        <v/>
      </c>
      <c r="J91" s="29">
        <f>F91*$E$8</f>
        <v/>
      </c>
      <c r="K91" s="29">
        <f>F91-J91+G91+H91-I91</f>
        <v/>
      </c>
    </row>
    <row r="92">
      <c r="A92" s="12" t="n">
        <v>3</v>
      </c>
      <c r="B92" s="33">
        <f>E91</f>
        <v/>
      </c>
      <c r="C92" s="33">
        <f>MAX($N$8,$N$8+$O$8*A92)</f>
        <v/>
      </c>
      <c r="D92" s="33">
        <f>B92*$E$8</f>
        <v/>
      </c>
      <c r="E92" s="33">
        <f>B92-D92+C92</f>
        <v/>
      </c>
      <c r="F92" s="29">
        <f>K91</f>
        <v/>
      </c>
      <c r="G92" s="29">
        <f>C92*$G$8</f>
        <v/>
      </c>
      <c r="H92" s="29">
        <f>F92*$I$8</f>
        <v/>
      </c>
      <c r="I92" s="29">
        <f>F92*$L$8</f>
        <v/>
      </c>
      <c r="J92" s="29">
        <f>F92*$E$8</f>
        <v/>
      </c>
      <c r="K92" s="29">
        <f>F92-J92+G92+H92-I92</f>
        <v/>
      </c>
    </row>
    <row r="93">
      <c r="A93" s="12" t="n">
        <v>4</v>
      </c>
      <c r="B93" s="33">
        <f>E92</f>
        <v/>
      </c>
      <c r="C93" s="33">
        <f>MAX($N$8,$N$8+$O$8*A93)</f>
        <v/>
      </c>
      <c r="D93" s="33">
        <f>B93*$E$8</f>
        <v/>
      </c>
      <c r="E93" s="33">
        <f>B93-D93+C93</f>
        <v/>
      </c>
      <c r="F93" s="29">
        <f>K92</f>
        <v/>
      </c>
      <c r="G93" s="29">
        <f>C93*$G$8</f>
        <v/>
      </c>
      <c r="H93" s="29">
        <f>F93*$I$8</f>
        <v/>
      </c>
      <c r="I93" s="29">
        <f>F93*$L$8</f>
        <v/>
      </c>
      <c r="J93" s="29">
        <f>F93*$E$8</f>
        <v/>
      </c>
      <c r="K93" s="29">
        <f>F93-J93+G93+H93-I93</f>
        <v/>
      </c>
    </row>
    <row r="94">
      <c r="A94" s="12" t="n">
        <v>5</v>
      </c>
      <c r="B94" s="33">
        <f>E93</f>
        <v/>
      </c>
      <c r="C94" s="33">
        <f>MAX($N$8,$N$8+$O$8*A94)</f>
        <v/>
      </c>
      <c r="D94" s="33">
        <f>B94*$E$8</f>
        <v/>
      </c>
      <c r="E94" s="33">
        <f>B94-D94+C94</f>
        <v/>
      </c>
      <c r="F94" s="29">
        <f>K93</f>
        <v/>
      </c>
      <c r="G94" s="29">
        <f>C94*$G$8</f>
        <v/>
      </c>
      <c r="H94" s="29">
        <f>F94*$I$8</f>
        <v/>
      </c>
      <c r="I94" s="29">
        <f>F94*$L$8</f>
        <v/>
      </c>
      <c r="J94" s="29">
        <f>F94*$E$8</f>
        <v/>
      </c>
      <c r="K94" s="29">
        <f>F94-J94+G94+H94-I94</f>
        <v/>
      </c>
    </row>
    <row r="95">
      <c r="A95" s="12" t="n">
        <v>6</v>
      </c>
      <c r="B95" s="33">
        <f>E94</f>
        <v/>
      </c>
      <c r="C95" s="33">
        <f>MAX($N$8,$N$8+$O$8*A95)</f>
        <v/>
      </c>
      <c r="D95" s="33">
        <f>B95*$E$8</f>
        <v/>
      </c>
      <c r="E95" s="33">
        <f>B95-D95+C95</f>
        <v/>
      </c>
      <c r="F95" s="29">
        <f>K94</f>
        <v/>
      </c>
      <c r="G95" s="29">
        <f>C95*$G$8</f>
        <v/>
      </c>
      <c r="H95" s="29">
        <f>F95*$I$8</f>
        <v/>
      </c>
      <c r="I95" s="29">
        <f>F95*$L$8</f>
        <v/>
      </c>
      <c r="J95" s="29">
        <f>F95*$E$8</f>
        <v/>
      </c>
      <c r="K95" s="29">
        <f>F95-J95+G95+H95-I95</f>
        <v/>
      </c>
    </row>
    <row r="96">
      <c r="A96" s="12" t="n">
        <v>7</v>
      </c>
      <c r="B96" s="33">
        <f>E95</f>
        <v/>
      </c>
      <c r="C96" s="33">
        <f>MAX($N$8,$N$8+$O$8*A96)</f>
        <v/>
      </c>
      <c r="D96" s="33">
        <f>B96*$E$8</f>
        <v/>
      </c>
      <c r="E96" s="33">
        <f>B96-D96+C96</f>
        <v/>
      </c>
      <c r="F96" s="29">
        <f>K95</f>
        <v/>
      </c>
      <c r="G96" s="29">
        <f>C96*$G$8</f>
        <v/>
      </c>
      <c r="H96" s="29">
        <f>F96*$I$8</f>
        <v/>
      </c>
      <c r="I96" s="29">
        <f>F96*$L$8</f>
        <v/>
      </c>
      <c r="J96" s="29">
        <f>F96*$E$8</f>
        <v/>
      </c>
      <c r="K96" s="29">
        <f>F96-J96+G96+H96-I96</f>
        <v/>
      </c>
    </row>
    <row r="97">
      <c r="A97" s="12" t="n">
        <v>8</v>
      </c>
      <c r="B97" s="33">
        <f>E96</f>
        <v/>
      </c>
      <c r="C97" s="33">
        <f>MAX($N$8,$N$8+$O$8*A97)</f>
        <v/>
      </c>
      <c r="D97" s="33">
        <f>B97*$E$8</f>
        <v/>
      </c>
      <c r="E97" s="33">
        <f>B97-D97+C97</f>
        <v/>
      </c>
      <c r="F97" s="29">
        <f>K96</f>
        <v/>
      </c>
      <c r="G97" s="29">
        <f>C97*$G$8</f>
        <v/>
      </c>
      <c r="H97" s="29">
        <f>F97*$I$8</f>
        <v/>
      </c>
      <c r="I97" s="29">
        <f>F97*$L$8</f>
        <v/>
      </c>
      <c r="J97" s="29">
        <f>F97*$E$8</f>
        <v/>
      </c>
      <c r="K97" s="29">
        <f>F97-J97+G97+H97-I97</f>
        <v/>
      </c>
    </row>
    <row r="98">
      <c r="A98" s="12" t="n">
        <v>9</v>
      </c>
      <c r="B98" s="33">
        <f>E97</f>
        <v/>
      </c>
      <c r="C98" s="33">
        <f>MAX($N$8,$N$8+$O$8*A98)</f>
        <v/>
      </c>
      <c r="D98" s="33">
        <f>B98*$E$8</f>
        <v/>
      </c>
      <c r="E98" s="33">
        <f>B98-D98+C98</f>
        <v/>
      </c>
      <c r="F98" s="29">
        <f>K97</f>
        <v/>
      </c>
      <c r="G98" s="29">
        <f>C98*$G$8</f>
        <v/>
      </c>
      <c r="H98" s="29">
        <f>F98*$I$8</f>
        <v/>
      </c>
      <c r="I98" s="29">
        <f>F98*$L$8</f>
        <v/>
      </c>
      <c r="J98" s="29">
        <f>F98*$E$8</f>
        <v/>
      </c>
      <c r="K98" s="29">
        <f>F98-J98+G98+H98-I98</f>
        <v/>
      </c>
    </row>
    <row r="99">
      <c r="A99" s="12" t="n">
        <v>10</v>
      </c>
      <c r="B99" s="33">
        <f>E98</f>
        <v/>
      </c>
      <c r="C99" s="33">
        <f>MAX($N$8,$N$8+$O$8*A99)</f>
        <v/>
      </c>
      <c r="D99" s="33">
        <f>B99*$E$8</f>
        <v/>
      </c>
      <c r="E99" s="33">
        <f>B99-D99+C99</f>
        <v/>
      </c>
      <c r="F99" s="29">
        <f>K98</f>
        <v/>
      </c>
      <c r="G99" s="29">
        <f>C99*$G$8</f>
        <v/>
      </c>
      <c r="H99" s="29">
        <f>F99*$I$8</f>
        <v/>
      </c>
      <c r="I99" s="29">
        <f>F99*$L$8</f>
        <v/>
      </c>
      <c r="J99" s="29">
        <f>F99*$E$8</f>
        <v/>
      </c>
      <c r="K99" s="29">
        <f>F99-J99+G99+H99-I99</f>
        <v/>
      </c>
    </row>
    <row r="100">
      <c r="A100" s="12" t="n">
        <v>11</v>
      </c>
      <c r="B100" s="33">
        <f>E99</f>
        <v/>
      </c>
      <c r="C100" s="33">
        <f>MAX($N$8,$N$8+$O$8*A100)</f>
        <v/>
      </c>
      <c r="D100" s="33">
        <f>B100*$E$8</f>
        <v/>
      </c>
      <c r="E100" s="33">
        <f>B100-D100+C100</f>
        <v/>
      </c>
      <c r="F100" s="29">
        <f>K99</f>
        <v/>
      </c>
      <c r="G100" s="29">
        <f>C100*$G$8</f>
        <v/>
      </c>
      <c r="H100" s="29">
        <f>F100*$I$8</f>
        <v/>
      </c>
      <c r="I100" s="29">
        <f>F100*$L$8</f>
        <v/>
      </c>
      <c r="J100" s="29">
        <f>F100*$E$8</f>
        <v/>
      </c>
      <c r="K100" s="29">
        <f>F100-J100+G100+H100-I100</f>
        <v/>
      </c>
    </row>
    <row r="101">
      <c r="A101" s="12" t="n">
        <v>12</v>
      </c>
      <c r="B101" s="33">
        <f>E100</f>
        <v/>
      </c>
      <c r="C101" s="33">
        <f>MAX($N$8,$N$8+$O$8*A101)</f>
        <v/>
      </c>
      <c r="D101" s="33">
        <f>B101*$E$8</f>
        <v/>
      </c>
      <c r="E101" s="33">
        <f>B101-D101+C101</f>
        <v/>
      </c>
      <c r="F101" s="29">
        <f>K100</f>
        <v/>
      </c>
      <c r="G101" s="29">
        <f>C101*$G$8</f>
        <v/>
      </c>
      <c r="H101" s="29">
        <f>F101*$I$8</f>
        <v/>
      </c>
      <c r="I101" s="29">
        <f>F101*$L$8</f>
        <v/>
      </c>
      <c r="J101" s="29">
        <f>F101*$E$8</f>
        <v/>
      </c>
      <c r="K101" s="29">
        <f>F101-J101+G101+H101-I101</f>
        <v/>
      </c>
    </row>
    <row r="104">
      <c r="A104" s="3" t="inlineStr">
        <is>
          <t>Scenario: Bear -- 12-month projection by segment (May-24..Apr-25)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7" t="inlineStr">
        <is>
          <t>Bear / B2C</t>
        </is>
      </c>
    </row>
    <row r="106">
      <c r="A106" s="6" t="inlineStr">
        <is>
          <t>Month #</t>
        </is>
      </c>
      <c r="B106" s="6" t="inlineStr">
        <is>
          <t>Opening customers</t>
        </is>
      </c>
      <c r="C106" s="6" t="inlineStr">
        <is>
          <t>New customers</t>
        </is>
      </c>
      <c r="D106" s="6" t="inlineStr">
        <is>
          <t>Churn customers</t>
        </is>
      </c>
      <c r="E106" s="6" t="inlineStr">
        <is>
          <t>Closing customers</t>
        </is>
      </c>
      <c r="F106" s="6" t="inlineStr">
        <is>
          <t>Opening MRR</t>
        </is>
      </c>
      <c r="G106" s="6" t="inlineStr">
        <is>
          <t>New MRR</t>
        </is>
      </c>
      <c r="H106" s="6" t="inlineStr">
        <is>
          <t>Expansion MRR</t>
        </is>
      </c>
      <c r="I106" s="6" t="inlineStr">
        <is>
          <t>Contraction MRR</t>
        </is>
      </c>
      <c r="J106" s="6" t="inlineStr">
        <is>
          <t>Churn MRR</t>
        </is>
      </c>
      <c r="K106" s="6" t="inlineStr">
        <is>
          <t>Closing MRR</t>
        </is>
      </c>
    </row>
    <row r="107">
      <c r="A107" s="12" t="n">
        <v>1</v>
      </c>
      <c r="B107" s="37">
        <f>SUMIFS(Data_MRR!$I:$I,Data_MRR!$B:$B,"B2C",Data_MRR!$A:$A,Assumptions!$B$10)</f>
        <v/>
      </c>
      <c r="C107" s="33">
        <f>$N$6*(1-Assumptions!$B$64)</f>
        <v/>
      </c>
      <c r="D107" s="33">
        <f>B107*$F$6</f>
        <v/>
      </c>
      <c r="E107" s="33">
        <f>B107-D107+C107</f>
        <v/>
      </c>
      <c r="F107" s="15">
        <f>SUMIFS(Data_MRR!$H:$H,Data_MRR!$B:$B,"B2C",Data_MRR!$A:$A,Assumptions!$B$10)</f>
        <v/>
      </c>
      <c r="G107" s="29">
        <f>C107*$G$6</f>
        <v/>
      </c>
      <c r="H107" s="29">
        <f>F107*$J$6</f>
        <v/>
      </c>
      <c r="I107" s="29">
        <f>F107*$M$6</f>
        <v/>
      </c>
      <c r="J107" s="29">
        <f>F107*$F$6</f>
        <v/>
      </c>
      <c r="K107" s="29">
        <f>F107-J107+G107+H107-I107</f>
        <v/>
      </c>
    </row>
    <row r="108">
      <c r="A108" s="12" t="n">
        <v>2</v>
      </c>
      <c r="B108" s="33">
        <f>E107</f>
        <v/>
      </c>
      <c r="C108" s="33">
        <f>$N$6*(1-Assumptions!$B$64)</f>
        <v/>
      </c>
      <c r="D108" s="33">
        <f>B108*$F$6</f>
        <v/>
      </c>
      <c r="E108" s="33">
        <f>B108-D108+C108</f>
        <v/>
      </c>
      <c r="F108" s="29">
        <f>K107</f>
        <v/>
      </c>
      <c r="G108" s="29">
        <f>C108*$G$6</f>
        <v/>
      </c>
      <c r="H108" s="29">
        <f>F108*$J$6</f>
        <v/>
      </c>
      <c r="I108" s="29">
        <f>F108*$M$6</f>
        <v/>
      </c>
      <c r="J108" s="29">
        <f>F108*$F$6</f>
        <v/>
      </c>
      <c r="K108" s="29">
        <f>F108-J108+G108+H108-I108</f>
        <v/>
      </c>
    </row>
    <row r="109">
      <c r="A109" s="12" t="n">
        <v>3</v>
      </c>
      <c r="B109" s="33">
        <f>E108</f>
        <v/>
      </c>
      <c r="C109" s="33">
        <f>$N$6*(1-Assumptions!$B$64)</f>
        <v/>
      </c>
      <c r="D109" s="33">
        <f>B109*$F$6</f>
        <v/>
      </c>
      <c r="E109" s="33">
        <f>B109-D109+C109</f>
        <v/>
      </c>
      <c r="F109" s="29">
        <f>K108</f>
        <v/>
      </c>
      <c r="G109" s="29">
        <f>C109*$G$6</f>
        <v/>
      </c>
      <c r="H109" s="29">
        <f>F109*$J$6</f>
        <v/>
      </c>
      <c r="I109" s="29">
        <f>F109*$M$6</f>
        <v/>
      </c>
      <c r="J109" s="29">
        <f>F109*$F$6</f>
        <v/>
      </c>
      <c r="K109" s="29">
        <f>F109-J109+G109+H109-I109</f>
        <v/>
      </c>
    </row>
    <row r="110">
      <c r="A110" s="12" t="n">
        <v>4</v>
      </c>
      <c r="B110" s="33">
        <f>E109</f>
        <v/>
      </c>
      <c r="C110" s="33">
        <f>$N$6*(1-Assumptions!$B$64)</f>
        <v/>
      </c>
      <c r="D110" s="33">
        <f>B110*$F$6</f>
        <v/>
      </c>
      <c r="E110" s="33">
        <f>B110-D110+C110</f>
        <v/>
      </c>
      <c r="F110" s="29">
        <f>K109</f>
        <v/>
      </c>
      <c r="G110" s="29">
        <f>C110*$G$6</f>
        <v/>
      </c>
      <c r="H110" s="29">
        <f>F110*$J$6</f>
        <v/>
      </c>
      <c r="I110" s="29">
        <f>F110*$M$6</f>
        <v/>
      </c>
      <c r="J110" s="29">
        <f>F110*$F$6</f>
        <v/>
      </c>
      <c r="K110" s="29">
        <f>F110-J110+G110+H110-I110</f>
        <v/>
      </c>
    </row>
    <row r="111">
      <c r="A111" s="12" t="n">
        <v>5</v>
      </c>
      <c r="B111" s="33">
        <f>E110</f>
        <v/>
      </c>
      <c r="C111" s="33">
        <f>$N$6*(1-Assumptions!$B$64)</f>
        <v/>
      </c>
      <c r="D111" s="33">
        <f>B111*$F$6</f>
        <v/>
      </c>
      <c r="E111" s="33">
        <f>B111-D111+C111</f>
        <v/>
      </c>
      <c r="F111" s="29">
        <f>K110</f>
        <v/>
      </c>
      <c r="G111" s="29">
        <f>C111*$G$6</f>
        <v/>
      </c>
      <c r="H111" s="29">
        <f>F111*$J$6</f>
        <v/>
      </c>
      <c r="I111" s="29">
        <f>F111*$M$6</f>
        <v/>
      </c>
      <c r="J111" s="29">
        <f>F111*$F$6</f>
        <v/>
      </c>
      <c r="K111" s="29">
        <f>F111-J111+G111+H111-I111</f>
        <v/>
      </c>
    </row>
    <row r="112">
      <c r="A112" s="12" t="n">
        <v>6</v>
      </c>
      <c r="B112" s="33">
        <f>E111</f>
        <v/>
      </c>
      <c r="C112" s="33">
        <f>$N$6*(1-Assumptions!$B$64)</f>
        <v/>
      </c>
      <c r="D112" s="33">
        <f>B112*$F$6</f>
        <v/>
      </c>
      <c r="E112" s="33">
        <f>B112-D112+C112</f>
        <v/>
      </c>
      <c r="F112" s="29">
        <f>K111</f>
        <v/>
      </c>
      <c r="G112" s="29">
        <f>C112*$G$6</f>
        <v/>
      </c>
      <c r="H112" s="29">
        <f>F112*$J$6</f>
        <v/>
      </c>
      <c r="I112" s="29">
        <f>F112*$M$6</f>
        <v/>
      </c>
      <c r="J112" s="29">
        <f>F112*$F$6</f>
        <v/>
      </c>
      <c r="K112" s="29">
        <f>F112-J112+G112+H112-I112</f>
        <v/>
      </c>
    </row>
    <row r="113">
      <c r="A113" s="12" t="n">
        <v>7</v>
      </c>
      <c r="B113" s="33">
        <f>E112</f>
        <v/>
      </c>
      <c r="C113" s="33">
        <f>$N$6*(1-Assumptions!$B$64)</f>
        <v/>
      </c>
      <c r="D113" s="33">
        <f>B113*$F$6</f>
        <v/>
      </c>
      <c r="E113" s="33">
        <f>B113-D113+C113</f>
        <v/>
      </c>
      <c r="F113" s="29">
        <f>K112</f>
        <v/>
      </c>
      <c r="G113" s="29">
        <f>C113*$G$6</f>
        <v/>
      </c>
      <c r="H113" s="29">
        <f>F113*$J$6</f>
        <v/>
      </c>
      <c r="I113" s="29">
        <f>F113*$M$6</f>
        <v/>
      </c>
      <c r="J113" s="29">
        <f>F113*$F$6</f>
        <v/>
      </c>
      <c r="K113" s="29">
        <f>F113-J113+G113+H113-I113</f>
        <v/>
      </c>
    </row>
    <row r="114">
      <c r="A114" s="12" t="n">
        <v>8</v>
      </c>
      <c r="B114" s="33">
        <f>E113</f>
        <v/>
      </c>
      <c r="C114" s="33">
        <f>$N$6*(1-Assumptions!$B$64)</f>
        <v/>
      </c>
      <c r="D114" s="33">
        <f>B114*$F$6</f>
        <v/>
      </c>
      <c r="E114" s="33">
        <f>B114-D114+C114</f>
        <v/>
      </c>
      <c r="F114" s="29">
        <f>K113</f>
        <v/>
      </c>
      <c r="G114" s="29">
        <f>C114*$G$6</f>
        <v/>
      </c>
      <c r="H114" s="29">
        <f>F114*$J$6</f>
        <v/>
      </c>
      <c r="I114" s="29">
        <f>F114*$M$6</f>
        <v/>
      </c>
      <c r="J114" s="29">
        <f>F114*$F$6</f>
        <v/>
      </c>
      <c r="K114" s="29">
        <f>F114-J114+G114+H114-I114</f>
        <v/>
      </c>
    </row>
    <row r="115">
      <c r="A115" s="12" t="n">
        <v>9</v>
      </c>
      <c r="B115" s="33">
        <f>E114</f>
        <v/>
      </c>
      <c r="C115" s="33">
        <f>$N$6*(1-Assumptions!$B$64)</f>
        <v/>
      </c>
      <c r="D115" s="33">
        <f>B115*$F$6</f>
        <v/>
      </c>
      <c r="E115" s="33">
        <f>B115-D115+C115</f>
        <v/>
      </c>
      <c r="F115" s="29">
        <f>K114</f>
        <v/>
      </c>
      <c r="G115" s="29">
        <f>C115*$G$6</f>
        <v/>
      </c>
      <c r="H115" s="29">
        <f>F115*$J$6</f>
        <v/>
      </c>
      <c r="I115" s="29">
        <f>F115*$M$6</f>
        <v/>
      </c>
      <c r="J115" s="29">
        <f>F115*$F$6</f>
        <v/>
      </c>
      <c r="K115" s="29">
        <f>F115-J115+G115+H115-I115</f>
        <v/>
      </c>
    </row>
    <row r="116">
      <c r="A116" s="12" t="n">
        <v>10</v>
      </c>
      <c r="B116" s="33">
        <f>E115</f>
        <v/>
      </c>
      <c r="C116" s="33">
        <f>$N$6*(1-Assumptions!$B$64)</f>
        <v/>
      </c>
      <c r="D116" s="33">
        <f>B116*$F$6</f>
        <v/>
      </c>
      <c r="E116" s="33">
        <f>B116-D116+C116</f>
        <v/>
      </c>
      <c r="F116" s="29">
        <f>K115</f>
        <v/>
      </c>
      <c r="G116" s="29">
        <f>C116*$G$6</f>
        <v/>
      </c>
      <c r="H116" s="29">
        <f>F116*$J$6</f>
        <v/>
      </c>
      <c r="I116" s="29">
        <f>F116*$M$6</f>
        <v/>
      </c>
      <c r="J116" s="29">
        <f>F116*$F$6</f>
        <v/>
      </c>
      <c r="K116" s="29">
        <f>F116-J116+G116+H116-I116</f>
        <v/>
      </c>
    </row>
    <row r="117">
      <c r="A117" s="12" t="n">
        <v>11</v>
      </c>
      <c r="B117" s="33">
        <f>E116</f>
        <v/>
      </c>
      <c r="C117" s="33">
        <f>$N$6*(1-Assumptions!$B$64)</f>
        <v/>
      </c>
      <c r="D117" s="33">
        <f>B117*$F$6</f>
        <v/>
      </c>
      <c r="E117" s="33">
        <f>B117-D117+C117</f>
        <v/>
      </c>
      <c r="F117" s="29">
        <f>K116</f>
        <v/>
      </c>
      <c r="G117" s="29">
        <f>C117*$G$6</f>
        <v/>
      </c>
      <c r="H117" s="29">
        <f>F117*$J$6</f>
        <v/>
      </c>
      <c r="I117" s="29">
        <f>F117*$M$6</f>
        <v/>
      </c>
      <c r="J117" s="29">
        <f>F117*$F$6</f>
        <v/>
      </c>
      <c r="K117" s="29">
        <f>F117-J117+G117+H117-I117</f>
        <v/>
      </c>
    </row>
    <row r="118">
      <c r="A118" s="12" t="n">
        <v>12</v>
      </c>
      <c r="B118" s="33">
        <f>E117</f>
        <v/>
      </c>
      <c r="C118" s="33">
        <f>$N$6*(1-Assumptions!$B$64)</f>
        <v/>
      </c>
      <c r="D118" s="33">
        <f>B118*$F$6</f>
        <v/>
      </c>
      <c r="E118" s="33">
        <f>B118-D118+C118</f>
        <v/>
      </c>
      <c r="F118" s="29">
        <f>K117</f>
        <v/>
      </c>
      <c r="G118" s="29">
        <f>C118*$G$6</f>
        <v/>
      </c>
      <c r="H118" s="29">
        <f>F118*$J$6</f>
        <v/>
      </c>
      <c r="I118" s="29">
        <f>F118*$M$6</f>
        <v/>
      </c>
      <c r="J118" s="29">
        <f>F118*$F$6</f>
        <v/>
      </c>
      <c r="K118" s="29">
        <f>F118-J118+G118+H118-I118</f>
        <v/>
      </c>
    </row>
    <row r="120">
      <c r="A120" s="7" t="inlineStr">
        <is>
          <t>Bear / SMB</t>
        </is>
      </c>
    </row>
    <row r="121">
      <c r="A121" s="6" t="inlineStr">
        <is>
          <t>Month #</t>
        </is>
      </c>
      <c r="B121" s="6" t="inlineStr">
        <is>
          <t>Opening customers</t>
        </is>
      </c>
      <c r="C121" s="6" t="inlineStr">
        <is>
          <t>New customers</t>
        </is>
      </c>
      <c r="D121" s="6" t="inlineStr">
        <is>
          <t>Churn customers</t>
        </is>
      </c>
      <c r="E121" s="6" t="inlineStr">
        <is>
          <t>Closing customers</t>
        </is>
      </c>
      <c r="F121" s="6" t="inlineStr">
        <is>
          <t>Opening MRR</t>
        </is>
      </c>
      <c r="G121" s="6" t="inlineStr">
        <is>
          <t>New MRR</t>
        </is>
      </c>
      <c r="H121" s="6" t="inlineStr">
        <is>
          <t>Expansion MRR</t>
        </is>
      </c>
      <c r="I121" s="6" t="inlineStr">
        <is>
          <t>Contraction MRR</t>
        </is>
      </c>
      <c r="J121" s="6" t="inlineStr">
        <is>
          <t>Churn MRR</t>
        </is>
      </c>
      <c r="K121" s="6" t="inlineStr">
        <is>
          <t>Closing MRR</t>
        </is>
      </c>
    </row>
    <row r="122">
      <c r="A122" s="12" t="n">
        <v>1</v>
      </c>
      <c r="B122" s="37">
        <f>SUMIFS(Data_MRR!$I:$I,Data_MRR!$B:$B,"SMB",Data_MRR!$A:$A,Assumptions!$B$10)</f>
        <v/>
      </c>
      <c r="C122" s="33">
        <f>$N$7*(1-Assumptions!$B$64)</f>
        <v/>
      </c>
      <c r="D122" s="33">
        <f>B122*$F$7</f>
        <v/>
      </c>
      <c r="E122" s="33">
        <f>B122-D122+C122</f>
        <v/>
      </c>
      <c r="F122" s="15">
        <f>SUMIFS(Data_MRR!$H:$H,Data_MRR!$B:$B,"SMB",Data_MRR!$A:$A,Assumptions!$B$10)</f>
        <v/>
      </c>
      <c r="G122" s="29">
        <f>C122*$G$7</f>
        <v/>
      </c>
      <c r="H122" s="29">
        <f>F122*$J$7</f>
        <v/>
      </c>
      <c r="I122" s="29">
        <f>F122*$M$7</f>
        <v/>
      </c>
      <c r="J122" s="29">
        <f>F122*$F$7</f>
        <v/>
      </c>
      <c r="K122" s="29">
        <f>F122-J122+G122+H122-I122</f>
        <v/>
      </c>
    </row>
    <row r="123">
      <c r="A123" s="12" t="n">
        <v>2</v>
      </c>
      <c r="B123" s="33">
        <f>E122</f>
        <v/>
      </c>
      <c r="C123" s="33">
        <f>$N$7*(1-Assumptions!$B$64)</f>
        <v/>
      </c>
      <c r="D123" s="33">
        <f>B123*$F$7</f>
        <v/>
      </c>
      <c r="E123" s="33">
        <f>B123-D123+C123</f>
        <v/>
      </c>
      <c r="F123" s="29">
        <f>K122</f>
        <v/>
      </c>
      <c r="G123" s="29">
        <f>C123*$G$7</f>
        <v/>
      </c>
      <c r="H123" s="29">
        <f>F123*$J$7</f>
        <v/>
      </c>
      <c r="I123" s="29">
        <f>F123*$M$7</f>
        <v/>
      </c>
      <c r="J123" s="29">
        <f>F123*$F$7</f>
        <v/>
      </c>
      <c r="K123" s="29">
        <f>F123-J123+G123+H123-I123</f>
        <v/>
      </c>
    </row>
    <row r="124">
      <c r="A124" s="12" t="n">
        <v>3</v>
      </c>
      <c r="B124" s="33">
        <f>E123</f>
        <v/>
      </c>
      <c r="C124" s="33">
        <f>$N$7*(1-Assumptions!$B$64)</f>
        <v/>
      </c>
      <c r="D124" s="33">
        <f>B124*$F$7</f>
        <v/>
      </c>
      <c r="E124" s="33">
        <f>B124-D124+C124</f>
        <v/>
      </c>
      <c r="F124" s="29">
        <f>K123</f>
        <v/>
      </c>
      <c r="G124" s="29">
        <f>C124*$G$7</f>
        <v/>
      </c>
      <c r="H124" s="29">
        <f>F124*$J$7</f>
        <v/>
      </c>
      <c r="I124" s="29">
        <f>F124*$M$7</f>
        <v/>
      </c>
      <c r="J124" s="29">
        <f>F124*$F$7</f>
        <v/>
      </c>
      <c r="K124" s="29">
        <f>F124-J124+G124+H124-I124</f>
        <v/>
      </c>
    </row>
    <row r="125">
      <c r="A125" s="12" t="n">
        <v>4</v>
      </c>
      <c r="B125" s="33">
        <f>E124</f>
        <v/>
      </c>
      <c r="C125" s="33">
        <f>$N$7*(1-Assumptions!$B$64)</f>
        <v/>
      </c>
      <c r="D125" s="33">
        <f>B125*$F$7</f>
        <v/>
      </c>
      <c r="E125" s="33">
        <f>B125-D125+C125</f>
        <v/>
      </c>
      <c r="F125" s="29">
        <f>K124</f>
        <v/>
      </c>
      <c r="G125" s="29">
        <f>C125*$G$7</f>
        <v/>
      </c>
      <c r="H125" s="29">
        <f>F125*$J$7</f>
        <v/>
      </c>
      <c r="I125" s="29">
        <f>F125*$M$7</f>
        <v/>
      </c>
      <c r="J125" s="29">
        <f>F125*$F$7</f>
        <v/>
      </c>
      <c r="K125" s="29">
        <f>F125-J125+G125+H125-I125</f>
        <v/>
      </c>
    </row>
    <row r="126">
      <c r="A126" s="12" t="n">
        <v>5</v>
      </c>
      <c r="B126" s="33">
        <f>E125</f>
        <v/>
      </c>
      <c r="C126" s="33">
        <f>$N$7*(1-Assumptions!$B$64)</f>
        <v/>
      </c>
      <c r="D126" s="33">
        <f>B126*$F$7</f>
        <v/>
      </c>
      <c r="E126" s="33">
        <f>B126-D126+C126</f>
        <v/>
      </c>
      <c r="F126" s="29">
        <f>K125</f>
        <v/>
      </c>
      <c r="G126" s="29">
        <f>C126*$G$7</f>
        <v/>
      </c>
      <c r="H126" s="29">
        <f>F126*$J$7</f>
        <v/>
      </c>
      <c r="I126" s="29">
        <f>F126*$M$7</f>
        <v/>
      </c>
      <c r="J126" s="29">
        <f>F126*$F$7</f>
        <v/>
      </c>
      <c r="K126" s="29">
        <f>F126-J126+G126+H126-I126</f>
        <v/>
      </c>
    </row>
    <row r="127">
      <c r="A127" s="12" t="n">
        <v>6</v>
      </c>
      <c r="B127" s="33">
        <f>E126</f>
        <v/>
      </c>
      <c r="C127" s="33">
        <f>$N$7*(1-Assumptions!$B$64)</f>
        <v/>
      </c>
      <c r="D127" s="33">
        <f>B127*$F$7</f>
        <v/>
      </c>
      <c r="E127" s="33">
        <f>B127-D127+C127</f>
        <v/>
      </c>
      <c r="F127" s="29">
        <f>K126</f>
        <v/>
      </c>
      <c r="G127" s="29">
        <f>C127*$G$7</f>
        <v/>
      </c>
      <c r="H127" s="29">
        <f>F127*$J$7</f>
        <v/>
      </c>
      <c r="I127" s="29">
        <f>F127*$M$7</f>
        <v/>
      </c>
      <c r="J127" s="29">
        <f>F127*$F$7</f>
        <v/>
      </c>
      <c r="K127" s="29">
        <f>F127-J127+G127+H127-I127</f>
        <v/>
      </c>
    </row>
    <row r="128">
      <c r="A128" s="12" t="n">
        <v>7</v>
      </c>
      <c r="B128" s="33">
        <f>E127</f>
        <v/>
      </c>
      <c r="C128" s="33">
        <f>$N$7*(1-Assumptions!$B$64)</f>
        <v/>
      </c>
      <c r="D128" s="33">
        <f>B128*$F$7</f>
        <v/>
      </c>
      <c r="E128" s="33">
        <f>B128-D128+C128</f>
        <v/>
      </c>
      <c r="F128" s="29">
        <f>K127</f>
        <v/>
      </c>
      <c r="G128" s="29">
        <f>C128*$G$7</f>
        <v/>
      </c>
      <c r="H128" s="29">
        <f>F128*$J$7</f>
        <v/>
      </c>
      <c r="I128" s="29">
        <f>F128*$M$7</f>
        <v/>
      </c>
      <c r="J128" s="29">
        <f>F128*$F$7</f>
        <v/>
      </c>
      <c r="K128" s="29">
        <f>F128-J128+G128+H128-I128</f>
        <v/>
      </c>
    </row>
    <row r="129">
      <c r="A129" s="12" t="n">
        <v>8</v>
      </c>
      <c r="B129" s="33">
        <f>E128</f>
        <v/>
      </c>
      <c r="C129" s="33">
        <f>$N$7*(1-Assumptions!$B$64)</f>
        <v/>
      </c>
      <c r="D129" s="33">
        <f>B129*$F$7</f>
        <v/>
      </c>
      <c r="E129" s="33">
        <f>B129-D129+C129</f>
        <v/>
      </c>
      <c r="F129" s="29">
        <f>K128</f>
        <v/>
      </c>
      <c r="G129" s="29">
        <f>C129*$G$7</f>
        <v/>
      </c>
      <c r="H129" s="29">
        <f>F129*$J$7</f>
        <v/>
      </c>
      <c r="I129" s="29">
        <f>F129*$M$7</f>
        <v/>
      </c>
      <c r="J129" s="29">
        <f>F129*$F$7</f>
        <v/>
      </c>
      <c r="K129" s="29">
        <f>F129-J129+G129+H129-I129</f>
        <v/>
      </c>
    </row>
    <row r="130">
      <c r="A130" s="12" t="n">
        <v>9</v>
      </c>
      <c r="B130" s="33">
        <f>E129</f>
        <v/>
      </c>
      <c r="C130" s="33">
        <f>$N$7*(1-Assumptions!$B$64)</f>
        <v/>
      </c>
      <c r="D130" s="33">
        <f>B130*$F$7</f>
        <v/>
      </c>
      <c r="E130" s="33">
        <f>B130-D130+C130</f>
        <v/>
      </c>
      <c r="F130" s="29">
        <f>K129</f>
        <v/>
      </c>
      <c r="G130" s="29">
        <f>C130*$G$7</f>
        <v/>
      </c>
      <c r="H130" s="29">
        <f>F130*$J$7</f>
        <v/>
      </c>
      <c r="I130" s="29">
        <f>F130*$M$7</f>
        <v/>
      </c>
      <c r="J130" s="29">
        <f>F130*$F$7</f>
        <v/>
      </c>
      <c r="K130" s="29">
        <f>F130-J130+G130+H130-I130</f>
        <v/>
      </c>
    </row>
    <row r="131">
      <c r="A131" s="12" t="n">
        <v>10</v>
      </c>
      <c r="B131" s="33">
        <f>E130</f>
        <v/>
      </c>
      <c r="C131" s="33">
        <f>$N$7*(1-Assumptions!$B$64)</f>
        <v/>
      </c>
      <c r="D131" s="33">
        <f>B131*$F$7</f>
        <v/>
      </c>
      <c r="E131" s="33">
        <f>B131-D131+C131</f>
        <v/>
      </c>
      <c r="F131" s="29">
        <f>K130</f>
        <v/>
      </c>
      <c r="G131" s="29">
        <f>C131*$G$7</f>
        <v/>
      </c>
      <c r="H131" s="29">
        <f>F131*$J$7</f>
        <v/>
      </c>
      <c r="I131" s="29">
        <f>F131*$M$7</f>
        <v/>
      </c>
      <c r="J131" s="29">
        <f>F131*$F$7</f>
        <v/>
      </c>
      <c r="K131" s="29">
        <f>F131-J131+G131+H131-I131</f>
        <v/>
      </c>
    </row>
    <row r="132">
      <c r="A132" s="12" t="n">
        <v>11</v>
      </c>
      <c r="B132" s="33">
        <f>E131</f>
        <v/>
      </c>
      <c r="C132" s="33">
        <f>$N$7*(1-Assumptions!$B$64)</f>
        <v/>
      </c>
      <c r="D132" s="33">
        <f>B132*$F$7</f>
        <v/>
      </c>
      <c r="E132" s="33">
        <f>B132-D132+C132</f>
        <v/>
      </c>
      <c r="F132" s="29">
        <f>K131</f>
        <v/>
      </c>
      <c r="G132" s="29">
        <f>C132*$G$7</f>
        <v/>
      </c>
      <c r="H132" s="29">
        <f>F132*$J$7</f>
        <v/>
      </c>
      <c r="I132" s="29">
        <f>F132*$M$7</f>
        <v/>
      </c>
      <c r="J132" s="29">
        <f>F132*$F$7</f>
        <v/>
      </c>
      <c r="K132" s="29">
        <f>F132-J132+G132+H132-I132</f>
        <v/>
      </c>
    </row>
    <row r="133">
      <c r="A133" s="12" t="n">
        <v>12</v>
      </c>
      <c r="B133" s="33">
        <f>E132</f>
        <v/>
      </c>
      <c r="C133" s="33">
        <f>$N$7*(1-Assumptions!$B$64)</f>
        <v/>
      </c>
      <c r="D133" s="33">
        <f>B133*$F$7</f>
        <v/>
      </c>
      <c r="E133" s="33">
        <f>B133-D133+C133</f>
        <v/>
      </c>
      <c r="F133" s="29">
        <f>K132</f>
        <v/>
      </c>
      <c r="G133" s="29">
        <f>C133*$G$7</f>
        <v/>
      </c>
      <c r="H133" s="29">
        <f>F133*$J$7</f>
        <v/>
      </c>
      <c r="I133" s="29">
        <f>F133*$M$7</f>
        <v/>
      </c>
      <c r="J133" s="29">
        <f>F133*$F$7</f>
        <v/>
      </c>
      <c r="K133" s="29">
        <f>F133-J133+G133+H133-I133</f>
        <v/>
      </c>
    </row>
    <row r="135">
      <c r="A135" s="7" t="inlineStr">
        <is>
          <t>Bear / Enterprise</t>
        </is>
      </c>
    </row>
    <row r="136">
      <c r="A136" s="6" t="inlineStr">
        <is>
          <t>Month #</t>
        </is>
      </c>
      <c r="B136" s="6" t="inlineStr">
        <is>
          <t>Opening customers</t>
        </is>
      </c>
      <c r="C136" s="6" t="inlineStr">
        <is>
          <t>New customers</t>
        </is>
      </c>
      <c r="D136" s="6" t="inlineStr">
        <is>
          <t>Churn customers</t>
        </is>
      </c>
      <c r="E136" s="6" t="inlineStr">
        <is>
          <t>Closing customers</t>
        </is>
      </c>
      <c r="F136" s="6" t="inlineStr">
        <is>
          <t>Opening MRR</t>
        </is>
      </c>
      <c r="G136" s="6" t="inlineStr">
        <is>
          <t>New MRR</t>
        </is>
      </c>
      <c r="H136" s="6" t="inlineStr">
        <is>
          <t>Expansion MRR</t>
        </is>
      </c>
      <c r="I136" s="6" t="inlineStr">
        <is>
          <t>Contraction MRR</t>
        </is>
      </c>
      <c r="J136" s="6" t="inlineStr">
        <is>
          <t>Churn MRR</t>
        </is>
      </c>
      <c r="K136" s="6" t="inlineStr">
        <is>
          <t>Closing MRR</t>
        </is>
      </c>
    </row>
    <row r="137">
      <c r="A137" s="12" t="n">
        <v>1</v>
      </c>
      <c r="B137" s="37">
        <f>SUMIFS(Data_MRR!$I:$I,Data_MRR!$B:$B,"Enterprise",Data_MRR!$A:$A,Assumptions!$B$10)</f>
        <v/>
      </c>
      <c r="C137" s="33">
        <f>$N$8*(1-Assumptions!$B$64)</f>
        <v/>
      </c>
      <c r="D137" s="33">
        <f>B137*$F$8</f>
        <v/>
      </c>
      <c r="E137" s="33">
        <f>B137-D137+C137</f>
        <v/>
      </c>
      <c r="F137" s="15">
        <f>SUMIFS(Data_MRR!$H:$H,Data_MRR!$B:$B,"Enterprise",Data_MRR!$A:$A,Assumptions!$B$10)</f>
        <v/>
      </c>
      <c r="G137" s="29">
        <f>C137*$G$8</f>
        <v/>
      </c>
      <c r="H137" s="29">
        <f>F137*$J$8</f>
        <v/>
      </c>
      <c r="I137" s="29">
        <f>F137*$M$8</f>
        <v/>
      </c>
      <c r="J137" s="29">
        <f>F137*$F$8</f>
        <v/>
      </c>
      <c r="K137" s="29">
        <f>F137-J137+G137+H137-I137</f>
        <v/>
      </c>
    </row>
    <row r="138">
      <c r="A138" s="12" t="n">
        <v>2</v>
      </c>
      <c r="B138" s="33">
        <f>E137</f>
        <v/>
      </c>
      <c r="C138" s="33">
        <f>$N$8*(1-Assumptions!$B$64)</f>
        <v/>
      </c>
      <c r="D138" s="33">
        <f>B138*$F$8</f>
        <v/>
      </c>
      <c r="E138" s="33">
        <f>B138-D138+C138</f>
        <v/>
      </c>
      <c r="F138" s="29">
        <f>K137</f>
        <v/>
      </c>
      <c r="G138" s="29">
        <f>C138*$G$8</f>
        <v/>
      </c>
      <c r="H138" s="29">
        <f>F138*$J$8</f>
        <v/>
      </c>
      <c r="I138" s="29">
        <f>F138*$M$8</f>
        <v/>
      </c>
      <c r="J138" s="29">
        <f>F138*$F$8</f>
        <v/>
      </c>
      <c r="K138" s="29">
        <f>F138-J138+G138+H138-I138</f>
        <v/>
      </c>
    </row>
    <row r="139">
      <c r="A139" s="12" t="n">
        <v>3</v>
      </c>
      <c r="B139" s="33">
        <f>E138</f>
        <v/>
      </c>
      <c r="C139" s="33">
        <f>$N$8*(1-Assumptions!$B$64)</f>
        <v/>
      </c>
      <c r="D139" s="33">
        <f>B139*$F$8</f>
        <v/>
      </c>
      <c r="E139" s="33">
        <f>B139-D139+C139</f>
        <v/>
      </c>
      <c r="F139" s="29">
        <f>K138</f>
        <v/>
      </c>
      <c r="G139" s="29">
        <f>C139*$G$8</f>
        <v/>
      </c>
      <c r="H139" s="29">
        <f>F139*$J$8</f>
        <v/>
      </c>
      <c r="I139" s="29">
        <f>F139*$M$8</f>
        <v/>
      </c>
      <c r="J139" s="29">
        <f>F139*$F$8</f>
        <v/>
      </c>
      <c r="K139" s="29">
        <f>F139-J139+G139+H139-I139</f>
        <v/>
      </c>
    </row>
    <row r="140">
      <c r="A140" s="12" t="n">
        <v>4</v>
      </c>
      <c r="B140" s="33">
        <f>E139</f>
        <v/>
      </c>
      <c r="C140" s="33">
        <f>$N$8*(1-Assumptions!$B$64)</f>
        <v/>
      </c>
      <c r="D140" s="33">
        <f>B140*$F$8</f>
        <v/>
      </c>
      <c r="E140" s="33">
        <f>B140-D140+C140</f>
        <v/>
      </c>
      <c r="F140" s="29">
        <f>K139</f>
        <v/>
      </c>
      <c r="G140" s="29">
        <f>C140*$G$8</f>
        <v/>
      </c>
      <c r="H140" s="29">
        <f>F140*$J$8</f>
        <v/>
      </c>
      <c r="I140" s="29">
        <f>F140*$M$8</f>
        <v/>
      </c>
      <c r="J140" s="29">
        <f>F140*$F$8</f>
        <v/>
      </c>
      <c r="K140" s="29">
        <f>F140-J140+G140+H140-I140</f>
        <v/>
      </c>
    </row>
    <row r="141">
      <c r="A141" s="12" t="n">
        <v>5</v>
      </c>
      <c r="B141" s="33">
        <f>E140</f>
        <v/>
      </c>
      <c r="C141" s="33">
        <f>$N$8*(1-Assumptions!$B$64)</f>
        <v/>
      </c>
      <c r="D141" s="33">
        <f>B141*$F$8</f>
        <v/>
      </c>
      <c r="E141" s="33">
        <f>B141-D141+C141</f>
        <v/>
      </c>
      <c r="F141" s="29">
        <f>K140</f>
        <v/>
      </c>
      <c r="G141" s="29">
        <f>C141*$G$8</f>
        <v/>
      </c>
      <c r="H141" s="29">
        <f>F141*$J$8</f>
        <v/>
      </c>
      <c r="I141" s="29">
        <f>F141*$M$8</f>
        <v/>
      </c>
      <c r="J141" s="29">
        <f>F141*$F$8</f>
        <v/>
      </c>
      <c r="K141" s="29">
        <f>F141-J141+G141+H141-I141</f>
        <v/>
      </c>
    </row>
    <row r="142">
      <c r="A142" s="12" t="n">
        <v>6</v>
      </c>
      <c r="B142" s="33">
        <f>E141</f>
        <v/>
      </c>
      <c r="C142" s="33">
        <f>$N$8*(1-Assumptions!$B$64)</f>
        <v/>
      </c>
      <c r="D142" s="33">
        <f>B142*$F$8</f>
        <v/>
      </c>
      <c r="E142" s="33">
        <f>B142-D142+C142</f>
        <v/>
      </c>
      <c r="F142" s="29">
        <f>K141</f>
        <v/>
      </c>
      <c r="G142" s="29">
        <f>C142*$G$8</f>
        <v/>
      </c>
      <c r="H142" s="29">
        <f>F142*$J$8</f>
        <v/>
      </c>
      <c r="I142" s="29">
        <f>F142*$M$8</f>
        <v/>
      </c>
      <c r="J142" s="29">
        <f>F142*$F$8</f>
        <v/>
      </c>
      <c r="K142" s="29">
        <f>F142-J142+G142+H142-I142</f>
        <v/>
      </c>
    </row>
    <row r="143">
      <c r="A143" s="12" t="n">
        <v>7</v>
      </c>
      <c r="B143" s="33">
        <f>E142</f>
        <v/>
      </c>
      <c r="C143" s="33">
        <f>$N$8*(1-Assumptions!$B$64)</f>
        <v/>
      </c>
      <c r="D143" s="33">
        <f>B143*$F$8</f>
        <v/>
      </c>
      <c r="E143" s="33">
        <f>B143-D143+C143</f>
        <v/>
      </c>
      <c r="F143" s="29">
        <f>K142</f>
        <v/>
      </c>
      <c r="G143" s="29">
        <f>C143*$G$8</f>
        <v/>
      </c>
      <c r="H143" s="29">
        <f>F143*$J$8</f>
        <v/>
      </c>
      <c r="I143" s="29">
        <f>F143*$M$8</f>
        <v/>
      </c>
      <c r="J143" s="29">
        <f>F143*$F$8</f>
        <v/>
      </c>
      <c r="K143" s="29">
        <f>F143-J143+G143+H143-I143</f>
        <v/>
      </c>
    </row>
    <row r="144">
      <c r="A144" s="12" t="n">
        <v>8</v>
      </c>
      <c r="B144" s="33">
        <f>E143</f>
        <v/>
      </c>
      <c r="C144" s="33">
        <f>$N$8*(1-Assumptions!$B$64)</f>
        <v/>
      </c>
      <c r="D144" s="33">
        <f>B144*$F$8</f>
        <v/>
      </c>
      <c r="E144" s="33">
        <f>B144-D144+C144</f>
        <v/>
      </c>
      <c r="F144" s="29">
        <f>K143</f>
        <v/>
      </c>
      <c r="G144" s="29">
        <f>C144*$G$8</f>
        <v/>
      </c>
      <c r="H144" s="29">
        <f>F144*$J$8</f>
        <v/>
      </c>
      <c r="I144" s="29">
        <f>F144*$M$8</f>
        <v/>
      </c>
      <c r="J144" s="29">
        <f>F144*$F$8</f>
        <v/>
      </c>
      <c r="K144" s="29">
        <f>F144-J144+G144+H144-I144</f>
        <v/>
      </c>
    </row>
    <row r="145">
      <c r="A145" s="12" t="n">
        <v>9</v>
      </c>
      <c r="B145" s="33">
        <f>E144</f>
        <v/>
      </c>
      <c r="C145" s="33">
        <f>$N$8*(1-Assumptions!$B$64)</f>
        <v/>
      </c>
      <c r="D145" s="33">
        <f>B145*$F$8</f>
        <v/>
      </c>
      <c r="E145" s="33">
        <f>B145-D145+C145</f>
        <v/>
      </c>
      <c r="F145" s="29">
        <f>K144</f>
        <v/>
      </c>
      <c r="G145" s="29">
        <f>C145*$G$8</f>
        <v/>
      </c>
      <c r="H145" s="29">
        <f>F145*$J$8</f>
        <v/>
      </c>
      <c r="I145" s="29">
        <f>F145*$M$8</f>
        <v/>
      </c>
      <c r="J145" s="29">
        <f>F145*$F$8</f>
        <v/>
      </c>
      <c r="K145" s="29">
        <f>F145-J145+G145+H145-I145</f>
        <v/>
      </c>
    </row>
    <row r="146">
      <c r="A146" s="12" t="n">
        <v>10</v>
      </c>
      <c r="B146" s="33">
        <f>E145</f>
        <v/>
      </c>
      <c r="C146" s="33">
        <f>$N$8*(1-Assumptions!$B$64)</f>
        <v/>
      </c>
      <c r="D146" s="33">
        <f>B146*$F$8</f>
        <v/>
      </c>
      <c r="E146" s="33">
        <f>B146-D146+C146</f>
        <v/>
      </c>
      <c r="F146" s="29">
        <f>K145</f>
        <v/>
      </c>
      <c r="G146" s="29">
        <f>C146*$G$8</f>
        <v/>
      </c>
      <c r="H146" s="29">
        <f>F146*$J$8</f>
        <v/>
      </c>
      <c r="I146" s="29">
        <f>F146*$M$8</f>
        <v/>
      </c>
      <c r="J146" s="29">
        <f>F146*$F$8</f>
        <v/>
      </c>
      <c r="K146" s="29">
        <f>F146-J146+G146+H146-I146</f>
        <v/>
      </c>
    </row>
    <row r="147">
      <c r="A147" s="12" t="n">
        <v>11</v>
      </c>
      <c r="B147" s="33">
        <f>E146</f>
        <v/>
      </c>
      <c r="C147" s="33">
        <f>$N$8*(1-Assumptions!$B$64)</f>
        <v/>
      </c>
      <c r="D147" s="33">
        <f>B147*$F$8</f>
        <v/>
      </c>
      <c r="E147" s="33">
        <f>B147-D147+C147</f>
        <v/>
      </c>
      <c r="F147" s="29">
        <f>K146</f>
        <v/>
      </c>
      <c r="G147" s="29">
        <f>C147*$G$8</f>
        <v/>
      </c>
      <c r="H147" s="29">
        <f>F147*$J$8</f>
        <v/>
      </c>
      <c r="I147" s="29">
        <f>F147*$M$8</f>
        <v/>
      </c>
      <c r="J147" s="29">
        <f>F147*$F$8</f>
        <v/>
      </c>
      <c r="K147" s="29">
        <f>F147-J147+G147+H147-I147</f>
        <v/>
      </c>
    </row>
    <row r="148">
      <c r="A148" s="12" t="n">
        <v>12</v>
      </c>
      <c r="B148" s="33">
        <f>E147</f>
        <v/>
      </c>
      <c r="C148" s="33">
        <f>$N$8*(1-Assumptions!$B$64)</f>
        <v/>
      </c>
      <c r="D148" s="33">
        <f>B148*$F$8</f>
        <v/>
      </c>
      <c r="E148" s="33">
        <f>B148-D148+C148</f>
        <v/>
      </c>
      <c r="F148" s="29">
        <f>K147</f>
        <v/>
      </c>
      <c r="G148" s="29">
        <f>C148*$G$8</f>
        <v/>
      </c>
      <c r="H148" s="29">
        <f>F148*$J$8</f>
        <v/>
      </c>
      <c r="I148" s="29">
        <f>F148*$M$8</f>
        <v/>
      </c>
      <c r="J148" s="29">
        <f>F148*$F$8</f>
        <v/>
      </c>
      <c r="K148" s="29">
        <f>F148-J148+G148+H148-I148</f>
        <v/>
      </c>
    </row>
    <row r="151">
      <c r="A151" s="3" t="inlineStr">
        <is>
          <t>Scenario summary -- Apr-25 MRR, growth %, subscribers, all three scenarios side by side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6" t="inlineStr">
        <is>
          <t>Segment</t>
        </is>
      </c>
      <c r="B152" s="6" t="inlineStr">
        <is>
          <t>MRR Apr-24 (actual)</t>
        </is>
      </c>
      <c r="C152" s="6" t="inlineStr">
        <is>
          <t>MRR Apr-25 Bear</t>
        </is>
      </c>
      <c r="D152" s="6" t="inlineStr">
        <is>
          <t>MRR Apr-25 Base</t>
        </is>
      </c>
      <c r="E152" s="6" t="inlineStr">
        <is>
          <t>MRR Apr-25 Bull</t>
        </is>
      </c>
      <c r="F152" s="6" t="inlineStr">
        <is>
          <t>Growth % Bear</t>
        </is>
      </c>
      <c r="G152" s="6" t="inlineStr">
        <is>
          <t>Growth % Base</t>
        </is>
      </c>
      <c r="H152" s="6" t="inlineStr">
        <is>
          <t>Growth % Bull</t>
        </is>
      </c>
      <c r="I152" s="6" t="inlineStr">
        <is>
          <t>Subs Apr-24 (actual)</t>
        </is>
      </c>
      <c r="J152" s="6" t="inlineStr">
        <is>
          <t>Subs Apr-25 Bear</t>
        </is>
      </c>
      <c r="K152" s="6" t="inlineStr">
        <is>
          <t>Subs Apr-25 Base</t>
        </is>
      </c>
      <c r="L152" s="6" t="inlineStr">
        <is>
          <t>Subs Apr-25 Bull</t>
        </is>
      </c>
    </row>
    <row r="153">
      <c r="A153" s="5" t="inlineStr">
        <is>
          <t>B2C</t>
        </is>
      </c>
      <c r="B153" s="15">
        <f>SUMIFS(Data_MRR!$H:$H,Data_MRR!$B:$B,"B2C",Data_MRR!$A:$A,Assumptions!$B$10)</f>
        <v/>
      </c>
      <c r="C153" s="15">
        <f>K118</f>
        <v/>
      </c>
      <c r="D153" s="15">
        <f>K24</f>
        <v/>
      </c>
      <c r="E153" s="15">
        <f>K71</f>
        <v/>
      </c>
      <c r="F153" s="28">
        <f>C153/B153-1</f>
        <v/>
      </c>
      <c r="G153" s="28">
        <f>D153/B153-1</f>
        <v/>
      </c>
      <c r="H153" s="28">
        <f>E153/B153-1</f>
        <v/>
      </c>
      <c r="I153" s="16">
        <f>SUMIFS(Data_MRR!$I:$I,Data_MRR!$B:$B,"B2C",Data_MRR!$A:$A,Assumptions!$B$10)</f>
        <v/>
      </c>
      <c r="J153" s="37">
        <f>E118</f>
        <v/>
      </c>
      <c r="K153" s="37">
        <f>E24</f>
        <v/>
      </c>
      <c r="L153" s="37">
        <f>E71</f>
        <v/>
      </c>
    </row>
    <row r="154">
      <c r="A154" s="5" t="inlineStr">
        <is>
          <t>SMB</t>
        </is>
      </c>
      <c r="B154" s="15">
        <f>SUMIFS(Data_MRR!$H:$H,Data_MRR!$B:$B,"SMB",Data_MRR!$A:$A,Assumptions!$B$10)</f>
        <v/>
      </c>
      <c r="C154" s="15">
        <f>K133</f>
        <v/>
      </c>
      <c r="D154" s="15">
        <f>K39</f>
        <v/>
      </c>
      <c r="E154" s="15">
        <f>K86</f>
        <v/>
      </c>
      <c r="F154" s="28">
        <f>C154/B154-1</f>
        <v/>
      </c>
      <c r="G154" s="28">
        <f>D154/B154-1</f>
        <v/>
      </c>
      <c r="H154" s="28">
        <f>E154/B154-1</f>
        <v/>
      </c>
      <c r="I154" s="16">
        <f>SUMIFS(Data_MRR!$I:$I,Data_MRR!$B:$B,"SMB",Data_MRR!$A:$A,Assumptions!$B$10)</f>
        <v/>
      </c>
      <c r="J154" s="37">
        <f>E133</f>
        <v/>
      </c>
      <c r="K154" s="37">
        <f>E39</f>
        <v/>
      </c>
      <c r="L154" s="37">
        <f>E86</f>
        <v/>
      </c>
    </row>
    <row r="155">
      <c r="A155" s="5" t="inlineStr">
        <is>
          <t>Enterprise</t>
        </is>
      </c>
      <c r="B155" s="15">
        <f>SUMIFS(Data_MRR!$H:$H,Data_MRR!$B:$B,"Enterprise",Data_MRR!$A:$A,Assumptions!$B$10)</f>
        <v/>
      </c>
      <c r="C155" s="15">
        <f>K148</f>
        <v/>
      </c>
      <c r="D155" s="15">
        <f>K54</f>
        <v/>
      </c>
      <c r="E155" s="15">
        <f>K101</f>
        <v/>
      </c>
      <c r="F155" s="28">
        <f>C155/B155-1</f>
        <v/>
      </c>
      <c r="G155" s="28">
        <f>D155/B155-1</f>
        <v/>
      </c>
      <c r="H155" s="28">
        <f>E155/B155-1</f>
        <v/>
      </c>
      <c r="I155" s="16">
        <f>SUMIFS(Data_MRR!$I:$I,Data_MRR!$B:$B,"Enterprise",Data_MRR!$A:$A,Assumptions!$B$10)</f>
        <v/>
      </c>
      <c r="J155" s="37">
        <f>E148</f>
        <v/>
      </c>
      <c r="K155" s="37">
        <f>E54</f>
        <v/>
      </c>
      <c r="L155" s="37">
        <f>E101</f>
        <v/>
      </c>
    </row>
    <row r="156">
      <c r="A156" s="7" t="inlineStr">
        <is>
          <t>Total</t>
        </is>
      </c>
      <c r="B156" s="29">
        <f>SUM(B153:B155)</f>
        <v/>
      </c>
      <c r="C156" s="29">
        <f>SUM(C153:C155)</f>
        <v/>
      </c>
      <c r="D156" s="29">
        <f>SUM(D153:D155)</f>
        <v/>
      </c>
      <c r="E156" s="29">
        <f>SUM(E153:E155)</f>
        <v/>
      </c>
      <c r="F156" s="28">
        <f>C156/B156-1</f>
        <v/>
      </c>
      <c r="G156" s="28">
        <f>D156/B156-1</f>
        <v/>
      </c>
      <c r="H156" s="28">
        <f>E156/B156-1</f>
        <v/>
      </c>
      <c r="I156" s="25">
        <f>SUM(I153:I155)</f>
        <v/>
      </c>
      <c r="J156" s="33">
        <f>SUM(J153:J155)</f>
        <v/>
      </c>
      <c r="K156" s="33">
        <f>SUM(K153:K155)</f>
        <v/>
      </c>
      <c r="L156" s="33">
        <f>SUM(L153:L155)</f>
        <v/>
      </c>
    </row>
    <row r="158">
      <c r="A158" s="3" t="inlineStr">
        <is>
          <t>Reconciliation vs. the Python engine (mart_s_03_scenario_summary) -- Sheet vs. engine Apr-25 MRR, target &lt;= 3% |delta|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6" t="inlineStr">
        <is>
          <t>Scenario</t>
        </is>
      </c>
      <c r="B159" s="6" t="inlineStr">
        <is>
          <t>Segment</t>
        </is>
      </c>
      <c r="C159" s="6" t="inlineStr">
        <is>
          <t>Sheet MRR Apr-25</t>
        </is>
      </c>
      <c r="D159" s="6" t="inlineStr">
        <is>
          <t>Engine MRR Apr-25 (mart_s_03, input)</t>
        </is>
      </c>
      <c r="E159" s="6" t="inlineStr">
        <is>
          <t>Delta %</t>
        </is>
      </c>
      <c r="F159" s="6" t="inlineStr">
        <is>
          <t>Within tolerance? (Total 3% / segment 5%)</t>
        </is>
      </c>
      <c r="G159" s="6" t="inlineStr"/>
      <c r="H159" s="6" t="inlineStr"/>
      <c r="I159" s="6" t="inlineStr"/>
      <c r="J159" s="6" t="inlineStr"/>
      <c r="K159" s="6" t="inlineStr"/>
    </row>
    <row r="160">
      <c r="A160" s="5" t="inlineStr">
        <is>
          <t>Base</t>
        </is>
      </c>
      <c r="B160" s="5" t="inlineStr">
        <is>
          <t>B2C</t>
        </is>
      </c>
      <c r="C160" s="29">
        <f>D153</f>
        <v/>
      </c>
      <c r="D160" s="14" t="n">
        <v>95925.1484961073</v>
      </c>
      <c r="E160" s="28">
        <f>(C160-D160)/D160</f>
        <v/>
      </c>
      <c r="F160" s="5">
        <f>IF(ABS(E160)&lt;=Assumptions!$B$22,TRUE,FALSE)</f>
        <v/>
      </c>
    </row>
    <row r="161">
      <c r="A161" s="5" t="inlineStr">
        <is>
          <t>Base</t>
        </is>
      </c>
      <c r="B161" s="5" t="inlineStr">
        <is>
          <t>SMB</t>
        </is>
      </c>
      <c r="C161" s="29">
        <f>D154</f>
        <v/>
      </c>
      <c r="D161" s="14" t="n">
        <v>95519.18538946295</v>
      </c>
      <c r="E161" s="28">
        <f>(C161-D161)/D161</f>
        <v/>
      </c>
      <c r="F161" s="5">
        <f>IF(ABS(E161)&lt;=Assumptions!$B$22,TRUE,FALSE)</f>
        <v/>
      </c>
    </row>
    <row r="162">
      <c r="A162" s="5" t="inlineStr">
        <is>
          <t>Base</t>
        </is>
      </c>
      <c r="B162" s="5" t="inlineStr">
        <is>
          <t>Enterprise</t>
        </is>
      </c>
      <c r="C162" s="29">
        <f>D155</f>
        <v/>
      </c>
      <c r="D162" s="14" t="n">
        <v>163037.6260780482</v>
      </c>
      <c r="E162" s="28">
        <f>(C162-D162)/D162</f>
        <v/>
      </c>
      <c r="F162" s="5">
        <f>IF(ABS(E162)&lt;=Assumptions!$B$22,TRUE,FALSE)</f>
        <v/>
      </c>
    </row>
    <row r="163">
      <c r="A163" s="5" t="inlineStr">
        <is>
          <t>Base</t>
        </is>
      </c>
      <c r="B163" s="5" t="inlineStr">
        <is>
          <t>Total</t>
        </is>
      </c>
      <c r="C163" s="29">
        <f>D156</f>
        <v/>
      </c>
      <c r="D163" s="14" t="n">
        <v>354481.9599636184</v>
      </c>
      <c r="E163" s="28">
        <f>(C163-D163)/D163</f>
        <v/>
      </c>
      <c r="F163" s="5">
        <f>IF(ABS(E163)&lt;=Assumptions!$B$21,TRUE,FALSE)</f>
        <v/>
      </c>
    </row>
    <row r="164">
      <c r="A164" s="5" t="inlineStr">
        <is>
          <t>Bull</t>
        </is>
      </c>
      <c r="B164" s="5" t="inlineStr">
        <is>
          <t>B2C</t>
        </is>
      </c>
      <c r="C164" s="29">
        <f>E153</f>
        <v/>
      </c>
      <c r="D164" s="14" t="n">
        <v>136630.6033772787</v>
      </c>
      <c r="E164" s="28">
        <f>(C164-D164)/D164</f>
        <v/>
      </c>
      <c r="F164" s="5">
        <f>IF(ABS(E164)&lt;=Assumptions!$B$22,TRUE,FALSE)</f>
        <v/>
      </c>
    </row>
    <row r="165">
      <c r="A165" s="5" t="inlineStr">
        <is>
          <t>Bull</t>
        </is>
      </c>
      <c r="B165" s="5" t="inlineStr">
        <is>
          <t>SMB</t>
        </is>
      </c>
      <c r="C165" s="29">
        <f>E154</f>
        <v/>
      </c>
      <c r="D165" s="14" t="n">
        <v>134630.0264266925</v>
      </c>
      <c r="E165" s="28">
        <f>(C165-D165)/D165</f>
        <v/>
      </c>
      <c r="F165" s="5">
        <f>IF(ABS(E165)&lt;=Assumptions!$B$22,TRUE,FALSE)</f>
        <v/>
      </c>
    </row>
    <row r="166">
      <c r="A166" s="5" t="inlineStr">
        <is>
          <t>Bull</t>
        </is>
      </c>
      <c r="B166" s="5" t="inlineStr">
        <is>
          <t>Enterprise</t>
        </is>
      </c>
      <c r="C166" s="29">
        <f>E155</f>
        <v/>
      </c>
      <c r="D166" s="14" t="n">
        <v>180401.3920088435</v>
      </c>
      <c r="E166" s="28">
        <f>(C166-D166)/D166</f>
        <v/>
      </c>
      <c r="F166" s="5">
        <f>IF(ABS(E166)&lt;=Assumptions!$B$22,TRUE,FALSE)</f>
        <v/>
      </c>
    </row>
    <row r="167">
      <c r="A167" s="5" t="inlineStr">
        <is>
          <t>Bull</t>
        </is>
      </c>
      <c r="B167" s="5" t="inlineStr">
        <is>
          <t>Total</t>
        </is>
      </c>
      <c r="C167" s="29">
        <f>E156</f>
        <v/>
      </c>
      <c r="D167" s="14" t="n">
        <v>451662.0218128146</v>
      </c>
      <c r="E167" s="28">
        <f>(C167-D167)/D167</f>
        <v/>
      </c>
      <c r="F167" s="5">
        <f>IF(ABS(E167)&lt;=Assumptions!$B$21,TRUE,FALSE)</f>
        <v/>
      </c>
    </row>
    <row r="168">
      <c r="A168" s="5" t="inlineStr">
        <is>
          <t>Bear</t>
        </is>
      </c>
      <c r="B168" s="5" t="inlineStr">
        <is>
          <t>B2C</t>
        </is>
      </c>
      <c r="C168" s="29">
        <f>C153</f>
        <v/>
      </c>
      <c r="D168" s="14" t="n">
        <v>84803.25907448243</v>
      </c>
      <c r="E168" s="28">
        <f>(C168-D168)/D168</f>
        <v/>
      </c>
      <c r="F168" s="5">
        <f>IF(ABS(E168)&lt;=Assumptions!$B$22,TRUE,FALSE)</f>
        <v/>
      </c>
    </row>
    <row r="169">
      <c r="A169" s="5" t="inlineStr">
        <is>
          <t>Bear</t>
        </is>
      </c>
      <c r="B169" s="5" t="inlineStr">
        <is>
          <t>SMB</t>
        </is>
      </c>
      <c r="C169" s="29">
        <f>C154</f>
        <v/>
      </c>
      <c r="D169" s="14" t="n">
        <v>84115.76419119695</v>
      </c>
      <c r="E169" s="28">
        <f>(C169-D169)/D169</f>
        <v/>
      </c>
      <c r="F169" s="5">
        <f>IF(ABS(E169)&lt;=Assumptions!$B$22,TRUE,FALSE)</f>
        <v/>
      </c>
    </row>
    <row r="170">
      <c r="A170" s="5" t="inlineStr">
        <is>
          <t>Bear</t>
        </is>
      </c>
      <c r="B170" s="5" t="inlineStr">
        <is>
          <t>Enterprise</t>
        </is>
      </c>
      <c r="C170" s="29">
        <f>C155</f>
        <v/>
      </c>
      <c r="D170" s="14" t="n">
        <v>150588.797144358</v>
      </c>
      <c r="E170" s="28">
        <f>(C170-D170)/D170</f>
        <v/>
      </c>
      <c r="F170" s="5">
        <f>IF(ABS(E170)&lt;=Assumptions!$B$22,TRUE,FALSE)</f>
        <v/>
      </c>
    </row>
    <row r="171">
      <c r="A171" s="5" t="inlineStr">
        <is>
          <t>Bear</t>
        </is>
      </c>
      <c r="B171" s="5" t="inlineStr">
        <is>
          <t>Total</t>
        </is>
      </c>
      <c r="C171" s="29">
        <f>C156</f>
        <v/>
      </c>
      <c r="D171" s="14" t="n">
        <v>319507.8204100374</v>
      </c>
      <c r="E171" s="28">
        <f>(C171-D171)/D171</f>
        <v/>
      </c>
      <c r="F171" s="5">
        <f>IF(ABS(E171)&lt;=Assumptions!$B$21,TRUE,FALSE)</f>
        <v/>
      </c>
    </row>
    <row r="173">
      <c r="A173" s="2" t="inlineStr">
        <is>
          <t>Gap explanation: the Sheet model blends monthly/annual plan rates into one bucket per segment (held at the Apr-24 stock/new-customer mix) instead of running six separate monthly-compartment buckets, and it does not model the Strategy-2 B2C annual-migration lever that the Python Bull case includes. Both are deliberate simplifications so the Sheet stays formula-auditable; the gap is consistently &lt;=3% on Apr-25 total MRR per scenario (see Checks tab).</t>
        </is>
      </c>
    </row>
  </sheetData>
  <mergeCells count="3">
    <mergeCell ref="A2:K2"/>
    <mergeCell ref="A1:K1"/>
    <mergeCell ref="A173:K17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Strategies</t>
        </is>
      </c>
    </row>
    <row r="2">
      <c r="A2" s="2" t="inlineStr">
        <is>
          <t>Source: WP23 results.md + mart_s_04_strategy_impact (from the Python scenario engine, sql/python_models/scenarios.py -- each strategy is sized as an isolated lever on top of the Base scenario). The company-wide 6mo/12mo MRR and NDR deltas are simulation outputs ('from engine', not spreadsheet formulas -- the underlying monthly compartment simulation is not re-derived here, same as the Scenarios tab's engine comparison). One illustrative figure IS a simple in-sheet formula: Strategy-1's immediate monthly save on the concrete May-24 at-risk list.</t>
        </is>
      </c>
    </row>
    <row r="4">
      <c r="A4" s="3" t="inlineStr">
        <is>
          <t>Illustrative simple-formula check: Strategy-1 applied to the May-24 at-risk list (source: mart_a1_06_may24_churn_risk, D-16 risk tiers)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Unit</t>
        </is>
      </c>
      <c r="D5" s="6" t="inlineStr">
        <is>
          <t>Source</t>
        </is>
      </c>
      <c r="E5" s="6" t="inlineStr"/>
      <c r="F5" s="6" t="inlineStr"/>
      <c r="G5" s="6" t="inlineStr"/>
      <c r="H5" s="6" t="inlineStr"/>
    </row>
    <row r="6">
      <c r="A6" s="5" t="inlineStr">
        <is>
          <t>May-24 High+Medium risk MRR (flagged)</t>
        </is>
      </c>
      <c r="B6" s="15">
        <f>Assumptions!$B$77</f>
        <v/>
      </c>
      <c r="C6" s="5" t="inlineStr">
        <is>
          <t>USD</t>
        </is>
      </c>
      <c r="D6" s="5" t="inlineStr">
        <is>
          <t>Assumptions (mart_a1_06_may24_churn_risk)</t>
        </is>
      </c>
    </row>
    <row r="7">
      <c r="A7" s="5" t="inlineStr">
        <is>
          <t>...of which expected to churn (mrr_at_risk)</t>
        </is>
      </c>
      <c r="B7" s="15">
        <f>Assumptions!$B$78</f>
        <v/>
      </c>
      <c r="C7" s="5" t="inlineStr">
        <is>
          <t>USD</t>
        </is>
      </c>
      <c r="D7" s="5" t="inlineStr">
        <is>
          <t>Assumptions (mart_a1_06_may24_churn_risk)</t>
        </is>
      </c>
    </row>
    <row r="8">
      <c r="A8" s="5" t="inlineStr">
        <is>
          <t>Strategy-1 base-case save rate (link to Assumptions)</t>
        </is>
      </c>
      <c r="B8" s="27">
        <f>Assumptions!$B$71</f>
        <v/>
      </c>
      <c r="C8" s="5" t="inlineStr">
        <is>
          <t>fraction saved</t>
        </is>
      </c>
      <c r="D8" s="5" t="inlineStr">
        <is>
          <t>A-20 (Assumptions)</t>
        </is>
      </c>
    </row>
    <row r="9">
      <c r="A9" s="7" t="inlineStr">
        <is>
          <t>-&gt; Immediate monthly MRR saved if applied once to the May-24 list</t>
        </is>
      </c>
      <c r="B9" s="32">
        <f>B7*B8</f>
        <v/>
      </c>
      <c r="C9" s="5" t="inlineStr">
        <is>
          <t>USD/month</t>
        </is>
      </c>
      <c r="D9" s="2" t="inlineStr">
        <is>
          <t>simple formula (at-risk MRR x save rate)</t>
        </is>
      </c>
    </row>
    <row r="11">
      <c r="A11" s="2" t="inlineStr">
        <is>
          <t>This single-month figure is smaller than the engine's $7,690/6-month company number below because the engine compounds the same save rate over every month's newly flagged cohort, not just the May-24 list once (see WP23 results.md).</t>
        </is>
      </c>
    </row>
    <row r="13">
      <c r="A13" s="3" t="inlineStr">
        <is>
          <t>Company-wide strategy impact, low/base/high (from engine: mart_s_04_strategy_impact)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6" t="inlineStr">
        <is>
          <t>Strategy</t>
        </is>
      </c>
      <c r="B14" s="6" t="inlineStr">
        <is>
          <t>Case</t>
        </is>
      </c>
      <c r="C14" s="6" t="inlineStr">
        <is>
          <t>6-mo MRR impact ($)</t>
        </is>
      </c>
      <c r="D14" s="6" t="inlineStr">
        <is>
          <t>6-mo MRR impact (%)</t>
        </is>
      </c>
      <c r="E14" s="6" t="inlineStr">
        <is>
          <t>12-mo MRR impact ($)</t>
        </is>
      </c>
      <c r="F14" s="6" t="inlineStr">
        <is>
          <t>NDR impact, 6-mo (pp)</t>
        </is>
      </c>
      <c r="G14" s="6" t="inlineStr">
        <is>
          <t>Effort</t>
        </is>
      </c>
      <c r="H14" s="6" t="inlineStr">
        <is>
          <t>Time to impact (months)</t>
        </is>
      </c>
    </row>
    <row r="15">
      <c r="A15" s="5" t="inlineStr">
        <is>
          <t>1. Engagement alert + save play</t>
        </is>
      </c>
      <c r="B15" s="5" t="inlineStr">
        <is>
          <t>low</t>
        </is>
      </c>
      <c r="C15" s="38" t="n">
        <v>3763.028066682979</v>
      </c>
      <c r="D15" s="13" t="n">
        <v>0.01326979797777117</v>
      </c>
      <c r="E15" s="38" t="n">
        <v>6607.673844224832</v>
      </c>
      <c r="F15" s="20" t="n">
        <v>1.311340875535916</v>
      </c>
      <c r="G15" s="9" t="inlineStr">
        <is>
          <t>Low</t>
        </is>
      </c>
      <c r="H15" s="12" t="n">
        <v>1</v>
      </c>
    </row>
    <row r="16">
      <c r="A16" s="5" t="inlineStr">
        <is>
          <t>1. Engagement alert + save play</t>
        </is>
      </c>
      <c r="B16" s="5" t="inlineStr">
        <is>
          <t>base</t>
        </is>
      </c>
      <c r="C16" s="38" t="n">
        <v>7690.010182537197</v>
      </c>
      <c r="D16" s="13" t="n">
        <v>0.02711775723193632</v>
      </c>
      <c r="E16" s="38" t="n">
        <v>13783.11794195906</v>
      </c>
      <c r="F16" s="20" t="n">
        <v>2.689072372826729</v>
      </c>
      <c r="G16" s="9" t="inlineStr">
        <is>
          <t>Low</t>
        </is>
      </c>
      <c r="H16" s="12" t="n">
        <v>1</v>
      </c>
    </row>
    <row r="17">
      <c r="A17" s="5" t="inlineStr">
        <is>
          <t>1. Engagement alert + save play</t>
        </is>
      </c>
      <c r="B17" s="5" t="inlineStr">
        <is>
          <t>high</t>
        </is>
      </c>
      <c r="C17" s="38" t="n">
        <v>11787.32241810468</v>
      </c>
      <c r="D17" s="13" t="n">
        <v>0.04156636209332842</v>
      </c>
      <c r="E17" s="38" t="n">
        <v>21578.6184004735</v>
      </c>
      <c r="F17" s="20" t="n">
        <v>4.135990918925936</v>
      </c>
      <c r="G17" s="9" t="inlineStr">
        <is>
          <t>Low</t>
        </is>
      </c>
      <c r="H17" s="12" t="n">
        <v>1</v>
      </c>
    </row>
    <row r="18">
      <c r="A18" s="5" t="inlineStr">
        <is>
          <t>2. B2C monthly -&gt; annual migration</t>
        </is>
      </c>
      <c r="B18" s="5" t="inlineStr">
        <is>
          <t>low</t>
        </is>
      </c>
      <c r="C18" s="38" t="n">
        <v>-455.9091774998815</v>
      </c>
      <c r="D18" s="13" t="n">
        <v>-0.001607700653417643</v>
      </c>
      <c r="E18" s="38" t="n">
        <v>754.7242111521773</v>
      </c>
      <c r="F18" s="20" t="n">
        <v>-0.1035174391401217</v>
      </c>
      <c r="G18" s="9" t="inlineStr">
        <is>
          <t>Medium</t>
        </is>
      </c>
      <c r="H18" s="12" t="n">
        <v>6</v>
      </c>
    </row>
    <row r="19">
      <c r="A19" s="5" t="inlineStr">
        <is>
          <t>2. B2C monthly -&gt; annual migration</t>
        </is>
      </c>
      <c r="B19" s="5" t="inlineStr">
        <is>
          <t>base</t>
        </is>
      </c>
      <c r="C19" s="38" t="n">
        <v>-849.6398181727272</v>
      </c>
      <c r="D19" s="13" t="n">
        <v>-0.002996137297206158</v>
      </c>
      <c r="E19" s="38" t="n">
        <v>1529.276145255717</v>
      </c>
      <c r="F19" s="20" t="n">
        <v>-0.1837431950867052</v>
      </c>
      <c r="G19" s="9" t="inlineStr">
        <is>
          <t>Medium</t>
        </is>
      </c>
      <c r="H19" s="12" t="n">
        <v>6</v>
      </c>
    </row>
    <row r="20">
      <c r="A20" s="5" t="inlineStr">
        <is>
          <t>2. B2C monthly -&gt; annual migration</t>
        </is>
      </c>
      <c r="B20" s="5" t="inlineStr">
        <is>
          <t>high</t>
        </is>
      </c>
      <c r="C20" s="38" t="n">
        <v>-1186.65224905347</v>
      </c>
      <c r="D20" s="13" t="n">
        <v>-0.004184565019385467</v>
      </c>
      <c r="E20" s="38" t="n">
        <v>2308.591008332151</v>
      </c>
      <c r="F20" s="20" t="n">
        <v>-0.2430073990373649</v>
      </c>
      <c r="G20" s="9" t="inlineStr">
        <is>
          <t>Medium</t>
        </is>
      </c>
      <c r="H20" s="12" t="n">
        <v>6</v>
      </c>
    </row>
    <row r="21">
      <c r="A21" s="5" t="inlineStr">
        <is>
          <t>3. B2B expansion/contraction playbook</t>
        </is>
      </c>
      <c r="B21" s="5" t="inlineStr">
        <is>
          <t>low</t>
        </is>
      </c>
      <c r="C21" s="38" t="n">
        <v>810.3306709904573</v>
      </c>
      <c r="D21" s="13" t="n">
        <v>0.002857519026881361</v>
      </c>
      <c r="E21" s="38" t="n">
        <v>1828.86750301742</v>
      </c>
      <c r="F21" s="20" t="n">
        <v>0.3163750504639129</v>
      </c>
      <c r="G21" s="9" t="inlineStr">
        <is>
          <t>Medium</t>
        </is>
      </c>
      <c r="H21" s="12" t="n">
        <v>3</v>
      </c>
    </row>
    <row r="22">
      <c r="A22" s="5" t="inlineStr">
        <is>
          <t>3. B2B expansion/contraction playbook</t>
        </is>
      </c>
      <c r="B22" s="5" t="inlineStr">
        <is>
          <t>base</t>
        </is>
      </c>
      <c r="C22" s="38" t="n">
        <v>1559.355723228015</v>
      </c>
      <c r="D22" s="13" t="n">
        <v>0.005498852268980503</v>
      </c>
      <c r="E22" s="38" t="n">
        <v>3528.999303849647</v>
      </c>
      <c r="F22" s="20" t="n">
        <v>0.6088770715628522</v>
      </c>
      <c r="G22" s="9" t="inlineStr">
        <is>
          <t>Medium</t>
        </is>
      </c>
      <c r="H22" s="12" t="n">
        <v>3</v>
      </c>
    </row>
    <row r="23">
      <c r="A23" s="5" t="inlineStr">
        <is>
          <t>3. B2B expansion/contraction playbook</t>
        </is>
      </c>
      <c r="B23" s="5" t="inlineStr">
        <is>
          <t>high</t>
        </is>
      </c>
      <c r="C23" s="38" t="n">
        <v>2313.397602070938</v>
      </c>
      <c r="D23" s="13" t="n">
        <v>0.008157876656179619</v>
      </c>
      <c r="E23" s="38" t="n">
        <v>5252.843149830704</v>
      </c>
      <c r="F23" s="20" t="n">
        <v>0.9035438026261278</v>
      </c>
      <c r="G23" s="9" t="inlineStr">
        <is>
          <t>Medium</t>
        </is>
      </c>
      <c r="H23" s="12" t="n">
        <v>3</v>
      </c>
    </row>
    <row r="25">
      <c r="A25" s="3" t="inlineStr">
        <is>
          <t>Recommended sequence (WP23; unchanged narrative from the engine's own numbers above)</t>
        </is>
      </c>
      <c r="B25" s="4" t="n"/>
      <c r="C25" s="4" t="n"/>
      <c r="D25" s="4" t="n"/>
      <c r="E25" s="4" t="n"/>
      <c r="F25" s="4" t="n"/>
      <c r="G25" s="4" t="n"/>
      <c r="H25" s="4" t="n"/>
    </row>
    <row r="26" ht="28" customHeight="1">
      <c r="A26" s="39" t="inlineStr">
        <is>
          <t>1) Engagement alert (Strategy 1) -- ship first: cheapest, fastest, biggest single lever (Low effort, 1 month to impact).</t>
        </is>
      </c>
    </row>
    <row r="27" ht="28" customHeight="1">
      <c r="A27" s="39" t="inlineStr">
        <is>
          <t>2) B2B playbook (Strategy 3) -- run in parallel: positive, no MRR downside, Medium effort.</t>
        </is>
      </c>
    </row>
    <row r="28" ht="28" customHeight="1">
      <c r="A28" s="39" t="inlineStr">
        <is>
          <t>3) Annual migration offer (Strategy 2) -- sequence third: costs MRR for ~9 months before it pays back (see mrr_delta_pct_m6 above is negative for this strategy).</t>
        </is>
      </c>
    </row>
  </sheetData>
  <mergeCells count="6">
    <mergeCell ref="A26:H26"/>
    <mergeCell ref="A2:H2"/>
    <mergeCell ref="A28:H28"/>
    <mergeCell ref="A11:H11"/>
    <mergeCell ref="A1:H1"/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Checks</t>
        </is>
      </c>
    </row>
    <row r="2">
      <c r="A2" s="2" t="inlineStr">
        <is>
          <t>TRUE/FALSE reconciliation checks. The master cell below is TRUE only if every check in every section passes.</t>
        </is>
      </c>
    </row>
    <row r="4">
      <c r="A4" s="40" t="inlineStr">
        <is>
          <t>ALL CHECKS PASS</t>
        </is>
      </c>
      <c r="B4" s="40">
        <f>IF(COUNTIF(B6:B27,FALSE)=0,"TRUE -- all checks pass","FALSE -- see failing rows below")</f>
        <v/>
      </c>
    </row>
    <row r="6">
      <c r="A6" s="3" t="inlineStr">
        <is>
          <t>MRR bridge identity -- every month, opening+new+exp-contr-churn=closing (Data_MRR)</t>
        </is>
      </c>
      <c r="B6" s="4" t="n"/>
      <c r="C6" s="4" t="n"/>
      <c r="D6" s="4" t="n"/>
      <c r="E6" s="4" t="n"/>
    </row>
    <row r="7">
      <c r="A7" s="5" t="inlineStr">
        <is>
          <t>All 80 Data_MRR rows satisfy the bridge identity</t>
        </is>
      </c>
      <c r="B7" s="5">
        <f>COUNTIF(Data_MRR!$J$5:$J$84,FALSE)=0</f>
        <v/>
      </c>
      <c r="C7" s="2" t="inlineStr">
        <is>
          <t>COUNTIF of the Data_MRR!J bridge_check column</t>
        </is>
      </c>
    </row>
    <row r="9">
      <c r="A9" s="3" t="inlineStr">
        <is>
          <t>Q1 / Q3 totals</t>
        </is>
      </c>
      <c r="B9" s="4" t="n"/>
      <c r="C9" s="4" t="n"/>
      <c r="D9" s="4" t="n"/>
      <c r="E9" s="4" t="n"/>
    </row>
    <row r="10">
      <c r="A10" s="5" t="inlineStr">
        <is>
          <t>Q1 total MRR Apr-24 = 204,709.09 (sum of segments)</t>
        </is>
      </c>
      <c r="B10" s="5">
        <f>ROUND(Answers_Q1_Q4!$B$9,2)=ROUND(Assumptions!$B$24,2)</f>
        <v/>
      </c>
      <c r="C10" s="2" t="inlineStr">
        <is>
          <t>Answers_Q1_Q4 Q1 total vs. Assumptions QA target</t>
        </is>
      </c>
    </row>
    <row r="11">
      <c r="A11" s="5" t="inlineStr">
        <is>
          <t>Q3 total active subs Apr-24 = 1,941</t>
        </is>
      </c>
      <c r="B11" s="5">
        <f>Answers_Q1_Q4!$D$47=Assumptions!$B$25</f>
        <v/>
      </c>
      <c r="C11" s="2" t="inlineStr">
        <is>
          <t>Answers_Q1_Q4 Q3 total vs. Assumptions QA target</t>
        </is>
      </c>
    </row>
    <row r="13">
      <c r="A13" s="3" t="inlineStr">
        <is>
          <t>CAC and LTV match mart_a2_12_unit_economics_summary within 1% (T6M basis, 60-month cap)</t>
        </is>
      </c>
      <c r="B13" s="4" t="n"/>
      <c r="C13" s="4" t="n"/>
      <c r="D13" s="4" t="n"/>
      <c r="E13" s="4" t="n"/>
    </row>
    <row r="14">
      <c r="A14" s="5" t="inlineStr">
        <is>
          <t>B2C: sheet CAC (T6M) vs. mart_a2_12 within 1%</t>
        </is>
      </c>
      <c r="B14" s="5">
        <f>ABS(UnitEconomics!$H$28-INDEX(Assumptions!$C$202:$C$300,MATCH("A2-043",Assumptions!$A$202:$A$300,0)))/INDEX(Assumptions!$C$202:$C$300,MATCH("A2-043",Assumptions!$A$202:$A$300,0))&lt;=Assumptions!$B$23</f>
        <v/>
      </c>
      <c r="C14" s="2" t="inlineStr">
        <is>
          <t>Assumptions register A2-043</t>
        </is>
      </c>
    </row>
    <row r="15">
      <c r="A15" s="5" t="inlineStr">
        <is>
          <t>B2C: sheet LTV (60mo cap, T6M GM) vs. mart_a2_12 within 1%</t>
        </is>
      </c>
      <c r="B15" s="5">
        <f>ABS(UnitEconomics!$N$28-INDEX(Assumptions!$C$202:$C$300,MATCH("A2-051",Assumptions!$A$202:$A$300,0)))/INDEX(Assumptions!$C$202:$C$300,MATCH("A2-051",Assumptions!$A$202:$A$300,0))&lt;=Assumptions!$B$23</f>
        <v/>
      </c>
      <c r="C15" s="2" t="inlineStr">
        <is>
          <t>Assumptions register A2-051; valid when the GM-basis selector = 'T6M avg'</t>
        </is>
      </c>
    </row>
    <row r="16">
      <c r="A16" s="5" t="inlineStr">
        <is>
          <t>SMB: sheet CAC (T6M) vs. mart_a2_12 within 1%</t>
        </is>
      </c>
      <c r="B16" s="5">
        <f>ABS(UnitEconomics!$H$29-INDEX(Assumptions!$C$202:$C$300,MATCH("A2-058",Assumptions!$A$202:$A$300,0)))/INDEX(Assumptions!$C$202:$C$300,MATCH("A2-058",Assumptions!$A$202:$A$300,0))&lt;=Assumptions!$B$23</f>
        <v/>
      </c>
      <c r="C16" s="2" t="inlineStr">
        <is>
          <t>Assumptions register A2-058</t>
        </is>
      </c>
    </row>
    <row r="17">
      <c r="A17" s="5" t="inlineStr">
        <is>
          <t>SMB: sheet LTV (60mo cap, T6M GM) vs. mart_a2_12 within 1%</t>
        </is>
      </c>
      <c r="B17" s="5">
        <f>ABS(UnitEconomics!$N$29-INDEX(Assumptions!$C$202:$C$300,MATCH("A2-066",Assumptions!$A$202:$A$300,0)))/INDEX(Assumptions!$C$202:$C$300,MATCH("A2-066",Assumptions!$A$202:$A$300,0))&lt;=Assumptions!$B$23</f>
        <v/>
      </c>
      <c r="C17" s="2" t="inlineStr">
        <is>
          <t>Assumptions register A2-066; valid when the GM-basis selector = 'T6M avg'</t>
        </is>
      </c>
    </row>
    <row r="18">
      <c r="A18" s="5" t="inlineStr">
        <is>
          <t>Enterprise: sheet CAC (T6M) vs. mart_a2_12 within 1%</t>
        </is>
      </c>
      <c r="B18" s="5">
        <f>ABS(UnitEconomics!$H$30-INDEX(Assumptions!$C$202:$C$300,MATCH("A2-073",Assumptions!$A$202:$A$300,0)))/INDEX(Assumptions!$C$202:$C$300,MATCH("A2-073",Assumptions!$A$202:$A$300,0))&lt;=Assumptions!$B$23</f>
        <v/>
      </c>
      <c r="C18" s="2" t="inlineStr">
        <is>
          <t>Assumptions register A2-073</t>
        </is>
      </c>
    </row>
    <row r="19">
      <c r="A19" s="5" t="inlineStr">
        <is>
          <t>Enterprise: sheet LTV (60mo cap, T6M GM) vs. mart_a2_12 within 1%</t>
        </is>
      </c>
      <c r="B19" s="5">
        <f>ABS(UnitEconomics!$N$30-INDEX(Assumptions!$C$202:$C$300,MATCH("A2-081",Assumptions!$A$202:$A$300,0)))/INDEX(Assumptions!$C$202:$C$300,MATCH("A2-081",Assumptions!$A$202:$A$300,0))&lt;=Assumptions!$B$23</f>
        <v/>
      </c>
      <c r="C19" s="2" t="inlineStr">
        <is>
          <t>Assumptions register A2-081; valid when the GM-basis selector = 'T6M avg'</t>
        </is>
      </c>
    </row>
    <row r="21">
      <c r="A21" s="3" t="inlineStr">
        <is>
          <t>Scenario reconciliation -- Sheet vs. engine within tolerance (Scenarios tab)</t>
        </is>
      </c>
      <c r="B21" s="4" t="n"/>
      <c r="C21" s="4" t="n"/>
      <c r="D21" s="4" t="n"/>
      <c r="E21" s="4" t="n"/>
    </row>
    <row r="22">
      <c r="A22" s="5" t="inlineStr">
        <is>
          <t>All Sheet-vs-engine scenario deltas are within tolerance</t>
        </is>
      </c>
      <c r="B22" s="5">
        <f>COUNTIF(Scenarios!$F$160:$F$171,FALSE)=0</f>
        <v/>
      </c>
      <c r="C22" s="2" t="inlineStr">
        <is>
          <t>Scenarios!F column, tolerance = Assumptions tol_scenario (3%)</t>
        </is>
      </c>
    </row>
    <row r="24">
      <c r="A24" s="3" t="inlineStr">
        <is>
          <t>Retention-adjusted payback sanity (resolves the WP40 open issue: computed on the full 60-month curve, not just the observed horizon)</t>
        </is>
      </c>
      <c r="B24" s="4" t="n"/>
      <c r="C24" s="4" t="n"/>
      <c r="D24" s="4" t="n"/>
      <c r="E24" s="4" t="n"/>
    </row>
    <row r="25">
      <c r="A25" s="5" t="inlineStr">
        <is>
          <t>Retention-adjusted payback is populated (a number or '&gt; 60') for B2C/SMB/Enterprise</t>
        </is>
      </c>
      <c r="B25" s="5">
        <f>COUNTIF(UnitEconomics!$C$98:$C$100,"")=0</f>
        <v/>
      </c>
      <c r="C25" s="2" t="inlineStr">
        <is>
          <t>UnitEconomics payback block, column C</t>
        </is>
      </c>
    </row>
  </sheetData>
  <mergeCells count="2">
    <mergeCell ref="A2:E2"/>
    <mergeCell ref="A1:E1"/>
  </mergeCells>
  <conditionalFormatting sqref="B6:B26">
    <cfRule type="expression" priority="1" dxfId="0">
      <formula>TRUE</formula>
    </cfRule>
    <cfRule type="expression" priority="2" dxfId="1">
      <formula>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2026-09-27T16:11:58Z</dcterms:created>
  <dcterms:modified xsi:type="dcterms:W3CDTF">2026-09-27T16:11:58Z</dcterms:modified>
</cp:coreProperties>
</file>